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ass-my.sharepoint.com/personal/ndiku_umass_edu/Documents/KF series 2024/PERI KF Report/"/>
    </mc:Choice>
  </mc:AlternateContent>
  <xr:revisionPtr revIDLastSave="3" documentId="8_{E4F0AF16-05BF-AA4E-AE97-89673D2B03EB}" xr6:coauthVersionLast="47" xr6:coauthVersionMax="47" xr10:uidLastSave="{E981AEA8-83A4-A345-BA17-DC8363B0DF7A}"/>
  <bookViews>
    <workbookView xWindow="18980" yWindow="500" windowWidth="26840" windowHeight="15940" xr2:uid="{858D629F-1153-AE4A-B5AB-12E6DA3133BF}"/>
  </bookViews>
  <sheets>
    <sheet name="Real KF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7" i="1" l="1"/>
  <c r="C57" i="1"/>
  <c r="D57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AA57" i="1"/>
  <c r="AB57" i="1"/>
  <c r="AC57" i="1"/>
  <c r="AD57" i="1"/>
  <c r="AE57" i="1"/>
  <c r="AF57" i="1"/>
</calcChain>
</file>

<file path=xl/sharedStrings.xml><?xml version="1.0" encoding="utf-8"?>
<sst xmlns="http://schemas.openxmlformats.org/spreadsheetml/2006/main" count="35" uniqueCount="35">
  <si>
    <t>year</t>
  </si>
  <si>
    <t>Algeria</t>
  </si>
  <si>
    <t>Angola</t>
  </si>
  <si>
    <t>Botswana</t>
  </si>
  <si>
    <t>Burkina Faso</t>
  </si>
  <si>
    <t>Burundi</t>
  </si>
  <si>
    <t>Cameroon</t>
  </si>
  <si>
    <t>Congo, DR</t>
  </si>
  <si>
    <t>Congo, Rep.</t>
  </si>
  <si>
    <t>Cote d'Ivoire</t>
  </si>
  <si>
    <t>Egypt</t>
  </si>
  <si>
    <t>Ethiopia</t>
  </si>
  <si>
    <t>Gabon</t>
  </si>
  <si>
    <t>Ghana</t>
  </si>
  <si>
    <t>Kenya</t>
  </si>
  <si>
    <t>Madagascar</t>
  </si>
  <si>
    <t>Malawi</t>
  </si>
  <si>
    <t>Mauritania</t>
  </si>
  <si>
    <t>Morocco</t>
  </si>
  <si>
    <t>Mozambique</t>
  </si>
  <si>
    <t>Nigeria</t>
  </si>
  <si>
    <t>Rwanda</t>
  </si>
  <si>
    <t>Seychelles</t>
  </si>
  <si>
    <t>Sierra Leone</t>
  </si>
  <si>
    <t>South Africa</t>
  </si>
  <si>
    <t>Sudan</t>
  </si>
  <si>
    <t>Tanzania</t>
  </si>
  <si>
    <t>Tunisia</t>
  </si>
  <si>
    <t>Uganda</t>
  </si>
  <si>
    <t>Zambia</t>
  </si>
  <si>
    <t>Zimbabwe</t>
  </si>
  <si>
    <t>Real KF 30 countries</t>
  </si>
  <si>
    <t>Real capital flight, million constant 2022 US$</t>
  </si>
  <si>
    <t>Total</t>
  </si>
  <si>
    <t>See January 2025 PERI RESEARCH REPORT for information on the 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</si>
</sst>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"/>
    <numFmt numFmtId="165" formatCode="_(* #,##0.0_);_(* \(#,##0.0\);_(* &quot;-&quot;??_);_(@_)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2" fillId="0" borderId="0" xfId="0" applyFont="1"/>
    <xf numFmtId="0" fontId="2" fillId="2" borderId="0" xfId="0" applyFont="1" applyFill="1"/>
    <xf numFmtId="165" fontId="2" fillId="2" borderId="0" xfId="1" applyNumberFormat="1" applyFont="1" applyFill="1"/>
    <xf numFmtId="164" fontId="2" fillId="2" borderId="0" xfId="0" applyNumberFormat="1" applyFont="1" applyFill="1"/>
    <xf numFmtId="165" fontId="2" fillId="3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16CD9-4D8F-EC4F-B59E-73B988C6C08D}">
  <dimension ref="A1:AF57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1" sqref="E1"/>
    </sheetView>
  </sheetViews>
  <sheetFormatPr baseColWidth="10" defaultRowHeight="16" x14ac:dyDescent="0.2"/>
  <cols>
    <col min="2" max="3" width="11.5" bestFit="1" customWidth="1"/>
    <col min="4" max="11" width="11" bestFit="1" customWidth="1"/>
    <col min="12" max="12" width="11.5" bestFit="1" customWidth="1"/>
    <col min="13" max="18" width="11" bestFit="1" customWidth="1"/>
    <col min="19" max="19" width="11.5" bestFit="1" customWidth="1"/>
    <col min="20" max="20" width="11" bestFit="1" customWidth="1"/>
    <col min="21" max="21" width="11.5" bestFit="1" customWidth="1"/>
    <col min="22" max="24" width="11" bestFit="1" customWidth="1"/>
    <col min="25" max="25" width="11.5" bestFit="1" customWidth="1"/>
    <col min="26" max="32" width="11" bestFit="1" customWidth="1"/>
  </cols>
  <sheetData>
    <row r="1" spans="1:32" x14ac:dyDescent="0.2">
      <c r="A1" t="s">
        <v>32</v>
      </c>
      <c r="E1" t="s">
        <v>34</v>
      </c>
    </row>
    <row r="3" spans="1:32" s="2" customFormat="1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17</v>
      </c>
      <c r="S3" s="2" t="s">
        <v>18</v>
      </c>
      <c r="T3" s="2" t="s">
        <v>19</v>
      </c>
      <c r="U3" s="2" t="s">
        <v>20</v>
      </c>
      <c r="V3" s="2" t="s">
        <v>21</v>
      </c>
      <c r="W3" s="2" t="s">
        <v>22</v>
      </c>
      <c r="X3" s="2" t="s">
        <v>23</v>
      </c>
      <c r="Y3" s="2" t="s">
        <v>24</v>
      </c>
      <c r="Z3" s="2" t="s">
        <v>25</v>
      </c>
      <c r="AA3" s="2" t="s">
        <v>26</v>
      </c>
      <c r="AB3" s="2" t="s">
        <v>27</v>
      </c>
      <c r="AC3" s="2" t="s">
        <v>28</v>
      </c>
      <c r="AD3" s="2" t="s">
        <v>29</v>
      </c>
      <c r="AE3" s="2" t="s">
        <v>30</v>
      </c>
      <c r="AF3" s="3" t="s">
        <v>31</v>
      </c>
    </row>
    <row r="4" spans="1:32" x14ac:dyDescent="0.2">
      <c r="A4">
        <v>1970</v>
      </c>
      <c r="B4" s="1"/>
      <c r="C4" s="1"/>
      <c r="D4" s="1"/>
      <c r="E4" s="1"/>
      <c r="F4" s="1"/>
      <c r="G4" s="1">
        <v>-21.712896138786576</v>
      </c>
      <c r="H4" s="1">
        <v>1642.294426169376</v>
      </c>
      <c r="I4" s="1"/>
      <c r="J4" s="1">
        <v>488.65788738157914</v>
      </c>
      <c r="K4" s="1">
        <v>3870.5303024165851</v>
      </c>
      <c r="L4" s="1"/>
      <c r="M4" s="1"/>
      <c r="N4" s="1">
        <v>-70.461641861875179</v>
      </c>
      <c r="O4" s="1">
        <v>687.15491385590178</v>
      </c>
      <c r="P4" s="1">
        <v>2258.6167764136599</v>
      </c>
      <c r="Q4" s="1">
        <v>81.407812404822707</v>
      </c>
      <c r="R4" s="1"/>
      <c r="S4" s="1">
        <v>2245.4387748772901</v>
      </c>
      <c r="T4" s="1"/>
      <c r="U4" s="1">
        <v>-346.1582761383724</v>
      </c>
      <c r="V4" s="1">
        <v>-137.70488492139597</v>
      </c>
      <c r="W4" s="1"/>
      <c r="X4" s="1">
        <v>82.153919811759323</v>
      </c>
      <c r="Y4" s="1">
        <v>-1061.868930167092</v>
      </c>
      <c r="Z4" s="1">
        <v>111.86074360240426</v>
      </c>
      <c r="AA4" s="1">
        <v>-536.42014298651077</v>
      </c>
      <c r="AB4" s="1">
        <v>368.69333089221936</v>
      </c>
      <c r="AC4" s="1">
        <v>363.32238215599534</v>
      </c>
      <c r="AD4" s="1">
        <v>3837.4642507667031</v>
      </c>
      <c r="AE4" s="1"/>
      <c r="AF4" s="5">
        <v>13.863268748534264</v>
      </c>
    </row>
    <row r="5" spans="1:32" x14ac:dyDescent="0.2">
      <c r="A5">
        <v>1971</v>
      </c>
      <c r="B5" s="1">
        <v>1339.4884721493131</v>
      </c>
      <c r="C5" s="1"/>
      <c r="D5" s="1"/>
      <c r="E5" s="1"/>
      <c r="F5" s="1"/>
      <c r="G5" s="1">
        <v>-102.26169763735626</v>
      </c>
      <c r="H5" s="1">
        <v>28.165416523226206</v>
      </c>
      <c r="I5" s="1">
        <v>72.44324459286517</v>
      </c>
      <c r="J5" s="1">
        <v>430.20637196724908</v>
      </c>
      <c r="K5" s="1">
        <v>3924.5346842328186</v>
      </c>
      <c r="L5" s="1">
        <v>-98.938656992456544</v>
      </c>
      <c r="M5" s="1"/>
      <c r="N5" s="1">
        <v>-929.70048278083698</v>
      </c>
      <c r="O5" s="1">
        <v>29.921763350312613</v>
      </c>
      <c r="P5" s="1">
        <v>-147.52632480494023</v>
      </c>
      <c r="Q5" s="1">
        <v>36.65123984314414</v>
      </c>
      <c r="R5" s="1"/>
      <c r="S5" s="1">
        <v>649.99534587113317</v>
      </c>
      <c r="T5" s="1"/>
      <c r="U5" s="1">
        <v>-642.97389125355915</v>
      </c>
      <c r="V5" s="1">
        <v>32.797910686344146</v>
      </c>
      <c r="W5" s="1"/>
      <c r="X5" s="1">
        <v>354.18529063655865</v>
      </c>
      <c r="Y5" s="1">
        <v>-4319.9370598987489</v>
      </c>
      <c r="Z5" s="1">
        <v>-263.97812648384928</v>
      </c>
      <c r="AA5" s="1">
        <v>5145.9064656899618</v>
      </c>
      <c r="AB5" s="1">
        <v>93.928867955416536</v>
      </c>
      <c r="AC5" s="1">
        <v>-191.02440972638539</v>
      </c>
      <c r="AD5" s="1">
        <v>556.66559940247214</v>
      </c>
      <c r="AE5" s="1"/>
      <c r="AF5" s="5">
        <v>5.9985500233226814</v>
      </c>
    </row>
    <row r="6" spans="1:32" x14ac:dyDescent="0.2">
      <c r="A6">
        <v>1972</v>
      </c>
      <c r="B6" s="1">
        <v>1065.9583496581406</v>
      </c>
      <c r="C6" s="1"/>
      <c r="D6" s="1"/>
      <c r="E6" s="1"/>
      <c r="F6" s="1"/>
      <c r="G6" s="1">
        <v>-460.69026137298204</v>
      </c>
      <c r="H6" s="1">
        <v>1293.7795271583911</v>
      </c>
      <c r="I6" s="1">
        <v>-20.687606631490507</v>
      </c>
      <c r="J6" s="1">
        <v>356.9355780244386</v>
      </c>
      <c r="K6" s="1">
        <v>-2679.386628611082</v>
      </c>
      <c r="L6" s="1">
        <v>66.786964661035682</v>
      </c>
      <c r="M6" s="1"/>
      <c r="N6" s="1">
        <v>623.19628698795452</v>
      </c>
      <c r="O6" s="1">
        <v>194.54196949694196</v>
      </c>
      <c r="P6" s="1">
        <v>569.13334868861898</v>
      </c>
      <c r="Q6" s="1">
        <v>-60.465053444672769</v>
      </c>
      <c r="R6" s="1"/>
      <c r="S6" s="1">
        <v>926.9923696248909</v>
      </c>
      <c r="T6" s="1"/>
      <c r="U6" s="1">
        <v>855.70712835642928</v>
      </c>
      <c r="V6" s="1">
        <v>45.605144500801735</v>
      </c>
      <c r="W6" s="1"/>
      <c r="X6" s="1">
        <v>58.414714716475316</v>
      </c>
      <c r="Y6" s="1">
        <v>-4026.7400655076385</v>
      </c>
      <c r="Z6" s="1">
        <v>-146.4487213724897</v>
      </c>
      <c r="AA6" s="1">
        <v>854.69625710638456</v>
      </c>
      <c r="AB6" s="1">
        <v>51.445978302542187</v>
      </c>
      <c r="AC6" s="1">
        <v>26.953226315964397</v>
      </c>
      <c r="AD6" s="1">
        <v>293.27598639406398</v>
      </c>
      <c r="AE6" s="1"/>
      <c r="AF6" s="5">
        <v>-0.11099550694728197</v>
      </c>
    </row>
    <row r="7" spans="1:32" x14ac:dyDescent="0.2">
      <c r="A7">
        <v>1973</v>
      </c>
      <c r="B7" s="1">
        <v>2770.956986214157</v>
      </c>
      <c r="C7" s="1"/>
      <c r="D7" s="1"/>
      <c r="E7" s="1"/>
      <c r="F7" s="1"/>
      <c r="G7" s="1">
        <v>-912.7637499814183</v>
      </c>
      <c r="H7" s="1">
        <v>4629.4321274900822</v>
      </c>
      <c r="I7" s="1">
        <v>265.87094174926295</v>
      </c>
      <c r="J7" s="1">
        <v>799.09697656711694</v>
      </c>
      <c r="K7" s="1">
        <v>-6567.3924511292262</v>
      </c>
      <c r="L7" s="1">
        <v>146.15627819470296</v>
      </c>
      <c r="M7" s="1"/>
      <c r="N7" s="1">
        <v>907.42895522900619</v>
      </c>
      <c r="O7" s="1">
        <v>833.67971651274752</v>
      </c>
      <c r="P7" s="1">
        <v>-134.04389144139469</v>
      </c>
      <c r="Q7" s="1">
        <v>283.90837649181503</v>
      </c>
      <c r="R7" s="1">
        <v>284.38626102260821</v>
      </c>
      <c r="S7" s="1">
        <v>1685.8079491082474</v>
      </c>
      <c r="T7" s="1"/>
      <c r="U7" s="1">
        <v>3716.7742950183142</v>
      </c>
      <c r="V7" s="1">
        <v>100.82201785014477</v>
      </c>
      <c r="W7" s="1"/>
      <c r="X7" s="1">
        <v>434.51069285821637</v>
      </c>
      <c r="Y7" s="1">
        <v>-522.61295776280758</v>
      </c>
      <c r="Z7" s="1">
        <v>499.0324384485582</v>
      </c>
      <c r="AA7" s="1">
        <v>1365.340966419707</v>
      </c>
      <c r="AB7" s="1">
        <v>-59.130505309283393</v>
      </c>
      <c r="AC7" s="1">
        <v>365.05085958048443</v>
      </c>
      <c r="AD7" s="1">
        <v>-956.43308466580311</v>
      </c>
      <c r="AE7" s="1"/>
      <c r="AF7" s="5">
        <v>9.9358791984652388</v>
      </c>
    </row>
    <row r="8" spans="1:32" x14ac:dyDescent="0.2">
      <c r="A8">
        <v>1974</v>
      </c>
      <c r="B8" s="1">
        <v>3581.3591139624887</v>
      </c>
      <c r="C8" s="1"/>
      <c r="D8" s="1"/>
      <c r="E8" s="1">
        <v>219.19438979376082</v>
      </c>
      <c r="F8" s="1"/>
      <c r="G8" s="1">
        <v>32.066339647015788</v>
      </c>
      <c r="H8" s="1">
        <v>4250.3931682353268</v>
      </c>
      <c r="I8" s="1">
        <v>-306.88405975969886</v>
      </c>
      <c r="J8" s="1">
        <v>979.09589203380608</v>
      </c>
      <c r="K8" s="1">
        <v>-5093.0813750039924</v>
      </c>
      <c r="L8" s="1">
        <v>-109.63718759186315</v>
      </c>
      <c r="M8" s="1"/>
      <c r="N8" s="1">
        <v>-1011.4014163343942</v>
      </c>
      <c r="O8" s="1">
        <v>829.71026915489767</v>
      </c>
      <c r="P8" s="1">
        <v>1453.3322797831347</v>
      </c>
      <c r="Q8" s="1">
        <v>225.74638392531176</v>
      </c>
      <c r="R8" s="1">
        <v>248.00352150432713</v>
      </c>
      <c r="S8" s="1">
        <v>2322.7547773357874</v>
      </c>
      <c r="T8" s="1"/>
      <c r="U8" s="1">
        <v>5666.0406157413117</v>
      </c>
      <c r="V8" s="1">
        <v>90.696264267235009</v>
      </c>
      <c r="W8" s="1"/>
      <c r="X8" s="1">
        <v>311.54216926504358</v>
      </c>
      <c r="Y8" s="1">
        <v>-2945.3363732541952</v>
      </c>
      <c r="Z8" s="1">
        <v>1442.3714204114622</v>
      </c>
      <c r="AA8" s="1">
        <v>1449.7947425061875</v>
      </c>
      <c r="AB8" s="1">
        <v>150.87839660324849</v>
      </c>
      <c r="AC8" s="1">
        <v>182.34840789786884</v>
      </c>
      <c r="AD8" s="1">
        <v>-551.63820409600623</v>
      </c>
      <c r="AE8" s="1"/>
      <c r="AF8" s="5">
        <v>13.417349536028061</v>
      </c>
    </row>
    <row r="9" spans="1:32" x14ac:dyDescent="0.2">
      <c r="A9">
        <v>1975</v>
      </c>
      <c r="B9" s="1">
        <v>2119.1363328756402</v>
      </c>
      <c r="C9" s="1"/>
      <c r="D9" s="1"/>
      <c r="E9" s="1">
        <v>-49.062711927159661</v>
      </c>
      <c r="F9" s="1"/>
      <c r="G9" s="1">
        <v>347.04105866908174</v>
      </c>
      <c r="H9" s="1">
        <v>-523.0117046921539</v>
      </c>
      <c r="I9" s="1">
        <v>-824.03398722131919</v>
      </c>
      <c r="J9" s="1">
        <v>2636.033728109267</v>
      </c>
      <c r="K9" s="1">
        <v>6207.1150031005172</v>
      </c>
      <c r="L9" s="1">
        <v>-280.8359680638132</v>
      </c>
      <c r="M9" s="1"/>
      <c r="N9" s="1">
        <v>86.860879908659399</v>
      </c>
      <c r="O9" s="1">
        <v>1537.0430671455199</v>
      </c>
      <c r="P9" s="1">
        <v>869.23058641030252</v>
      </c>
      <c r="Q9" s="1">
        <v>328.4917703049943</v>
      </c>
      <c r="R9" s="1">
        <v>171.80682567451211</v>
      </c>
      <c r="S9" s="1">
        <v>7991.1997076271082</v>
      </c>
      <c r="T9" s="1"/>
      <c r="U9" s="1">
        <v>4882.4438003613086</v>
      </c>
      <c r="V9" s="1">
        <v>116.56592834762148</v>
      </c>
      <c r="W9" s="1"/>
      <c r="X9" s="1">
        <v>-69.596819631788449</v>
      </c>
      <c r="Y9" s="1">
        <v>-10660.554861921884</v>
      </c>
      <c r="Z9" s="1">
        <v>1050.9383633922118</v>
      </c>
      <c r="AA9" s="1">
        <v>735.13059694441324</v>
      </c>
      <c r="AB9" s="1">
        <v>160.01316338712496</v>
      </c>
      <c r="AC9" s="1">
        <v>-42.919755126990381</v>
      </c>
      <c r="AD9" s="1">
        <v>-935.16620153296844</v>
      </c>
      <c r="AE9" s="1"/>
      <c r="AF9" s="5">
        <v>15.853868802140205</v>
      </c>
    </row>
    <row r="10" spans="1:32" x14ac:dyDescent="0.2">
      <c r="A10">
        <v>1976</v>
      </c>
      <c r="B10" s="1">
        <v>2277.3360361700702</v>
      </c>
      <c r="C10" s="1"/>
      <c r="D10" s="1">
        <v>33.435272356953348</v>
      </c>
      <c r="E10" s="1">
        <v>-14.96453898485878</v>
      </c>
      <c r="F10" s="1"/>
      <c r="G10" s="1">
        <v>-197.92496878617547</v>
      </c>
      <c r="H10" s="1">
        <v>2613.4472968212717</v>
      </c>
      <c r="I10" s="1">
        <v>-1566.6999227485326</v>
      </c>
      <c r="J10" s="1">
        <v>2112.1639725031569</v>
      </c>
      <c r="K10" s="1">
        <v>1268.0560145777906</v>
      </c>
      <c r="L10" s="1">
        <v>-234.38422007247544</v>
      </c>
      <c r="M10" s="1"/>
      <c r="N10" s="1">
        <v>-354.23055635154128</v>
      </c>
      <c r="O10" s="1">
        <v>1400.3860387188251</v>
      </c>
      <c r="P10" s="1">
        <v>-2068.0674976353102</v>
      </c>
      <c r="Q10" s="1">
        <v>223.03286835431197</v>
      </c>
      <c r="R10" s="1">
        <v>904.45315315849621</v>
      </c>
      <c r="S10" s="1">
        <v>7609.5675728307215</v>
      </c>
      <c r="T10" s="1"/>
      <c r="U10" s="1">
        <v>11024.208447478048</v>
      </c>
      <c r="V10" s="1">
        <v>203.9771076875559</v>
      </c>
      <c r="W10" s="1"/>
      <c r="X10" s="1">
        <v>110.67668606626285</v>
      </c>
      <c r="Y10" s="1">
        <v>-3460.0822981097394</v>
      </c>
      <c r="Z10" s="1">
        <v>742.9017019716614</v>
      </c>
      <c r="AA10" s="1">
        <v>980.78179598777569</v>
      </c>
      <c r="AB10" s="1">
        <v>1154.3302899584403</v>
      </c>
      <c r="AC10" s="1">
        <v>213.26336593695851</v>
      </c>
      <c r="AD10" s="1">
        <v>-39.502065800894378</v>
      </c>
      <c r="AE10" s="1"/>
      <c r="AF10" s="5">
        <v>24.936161552088773</v>
      </c>
    </row>
    <row r="11" spans="1:32" x14ac:dyDescent="0.2">
      <c r="A11">
        <v>1977</v>
      </c>
      <c r="B11" s="1">
        <v>18244.197962355436</v>
      </c>
      <c r="C11" s="1"/>
      <c r="D11" s="1">
        <v>-63.070044767197409</v>
      </c>
      <c r="E11" s="1">
        <v>210.08314383933558</v>
      </c>
      <c r="F11" s="1"/>
      <c r="G11" s="1">
        <v>1950.2100440234569</v>
      </c>
      <c r="H11" s="1">
        <v>-3290.0130491582549</v>
      </c>
      <c r="I11" s="1">
        <v>-96.769638478026749</v>
      </c>
      <c r="J11" s="1">
        <v>4898.0485236110617</v>
      </c>
      <c r="K11" s="1">
        <v>19628.213306704867</v>
      </c>
      <c r="L11" s="1">
        <v>-464.36147516545105</v>
      </c>
      <c r="M11" s="1"/>
      <c r="N11" s="1">
        <v>1442.7321419381503</v>
      </c>
      <c r="O11" s="1">
        <v>916.4808097474405</v>
      </c>
      <c r="P11" s="1">
        <v>2581.8454665958016</v>
      </c>
      <c r="Q11" s="1">
        <v>489.9581702868071</v>
      </c>
      <c r="R11" s="1">
        <v>370.7490291913557</v>
      </c>
      <c r="S11" s="1">
        <v>12843.085328552694</v>
      </c>
      <c r="T11" s="1"/>
      <c r="U11" s="1">
        <v>17907.678440778356</v>
      </c>
      <c r="V11" s="1">
        <v>196.7624174221753</v>
      </c>
      <c r="W11" s="1"/>
      <c r="X11" s="1">
        <v>249.99588199356589</v>
      </c>
      <c r="Y11" s="1">
        <v>2821.8128467238462</v>
      </c>
      <c r="Z11" s="1">
        <v>1729.5988383901288</v>
      </c>
      <c r="AA11" s="1">
        <v>1481.4172909845545</v>
      </c>
      <c r="AB11" s="1">
        <v>3959.7149284281513</v>
      </c>
      <c r="AC11" s="1">
        <v>-796.76230581100856</v>
      </c>
      <c r="AD11" s="1">
        <v>854.81443961597688</v>
      </c>
      <c r="AE11" s="1">
        <v>562.92447953530802</v>
      </c>
      <c r="AF11" s="5">
        <v>88.629346977338528</v>
      </c>
    </row>
    <row r="12" spans="1:32" x14ac:dyDescent="0.2">
      <c r="A12">
        <v>1978</v>
      </c>
      <c r="B12" s="1">
        <v>22071.247415280086</v>
      </c>
      <c r="C12" s="1"/>
      <c r="D12" s="1">
        <v>-457.03630706728063</v>
      </c>
      <c r="E12" s="1">
        <v>399.37013785514227</v>
      </c>
      <c r="F12" s="1"/>
      <c r="G12" s="1">
        <v>1771.371255182597</v>
      </c>
      <c r="H12" s="1">
        <v>5949.9495574919692</v>
      </c>
      <c r="I12" s="1">
        <v>1288.8332803526648</v>
      </c>
      <c r="J12" s="1">
        <v>6272.7090144757567</v>
      </c>
      <c r="K12" s="1">
        <v>9363.1223783722326</v>
      </c>
      <c r="L12" s="1">
        <v>60.18554124140794</v>
      </c>
      <c r="M12" s="1">
        <v>154.84849968430615</v>
      </c>
      <c r="N12" s="1">
        <v>937.77259498380261</v>
      </c>
      <c r="O12" s="1">
        <v>1960.3984574596511</v>
      </c>
      <c r="P12" s="1">
        <v>-1634.8289964474473</v>
      </c>
      <c r="Q12" s="1">
        <v>535.0263285961903</v>
      </c>
      <c r="R12" s="1">
        <v>569.11571682114629</v>
      </c>
      <c r="S12" s="1">
        <v>6315.7563542405633</v>
      </c>
      <c r="T12" s="1"/>
      <c r="U12" s="1">
        <v>13402.935025841594</v>
      </c>
      <c r="V12" s="1">
        <v>2215.3020028972905</v>
      </c>
      <c r="W12" s="1"/>
      <c r="X12" s="1">
        <v>187.8099520931361</v>
      </c>
      <c r="Y12" s="1">
        <v>2933.9662883582696</v>
      </c>
      <c r="Z12" s="1">
        <v>1163.5445269922</v>
      </c>
      <c r="AA12" s="1">
        <v>2083.7271929694721</v>
      </c>
      <c r="AB12" s="1">
        <v>2190.8511275405031</v>
      </c>
      <c r="AC12" s="1">
        <v>7.5290012191438942</v>
      </c>
      <c r="AD12" s="1">
        <v>2239.5896505662431</v>
      </c>
      <c r="AE12" s="1">
        <v>975.51928003934222</v>
      </c>
      <c r="AF12" s="5">
        <v>82.958615277039982</v>
      </c>
    </row>
    <row r="13" spans="1:32" x14ac:dyDescent="0.2">
      <c r="A13">
        <v>1979</v>
      </c>
      <c r="B13" s="1">
        <v>13143.952423415543</v>
      </c>
      <c r="C13" s="1"/>
      <c r="D13" s="1">
        <v>-288.71443668352401</v>
      </c>
      <c r="E13" s="1">
        <v>135.18108158012379</v>
      </c>
      <c r="F13" s="1"/>
      <c r="G13" s="1">
        <v>2043.0551191736497</v>
      </c>
      <c r="H13" s="1">
        <v>1879.5606507950624</v>
      </c>
      <c r="I13" s="1">
        <v>700.87179091772759</v>
      </c>
      <c r="J13" s="1">
        <v>4268.2338730507408</v>
      </c>
      <c r="K13" s="1">
        <v>1951.0469026002525</v>
      </c>
      <c r="L13" s="1">
        <v>-166.51730966900439</v>
      </c>
      <c r="M13" s="1">
        <v>604.03358106587109</v>
      </c>
      <c r="N13" s="1">
        <v>525.87470436256763</v>
      </c>
      <c r="O13" s="1">
        <v>1994.8691300249081</v>
      </c>
      <c r="P13" s="1">
        <v>963.95376971388589</v>
      </c>
      <c r="Q13" s="1">
        <v>-40.052873562600375</v>
      </c>
      <c r="R13" s="1">
        <v>183.72622145386279</v>
      </c>
      <c r="S13" s="1">
        <v>2562.1281944752718</v>
      </c>
      <c r="T13" s="1"/>
      <c r="U13" s="1">
        <v>8666.235810579461</v>
      </c>
      <c r="V13" s="1">
        <v>5077.8072366356564</v>
      </c>
      <c r="W13" s="1"/>
      <c r="X13" s="1">
        <v>554.89178543246078</v>
      </c>
      <c r="Y13" s="1">
        <v>8542.6922193130795</v>
      </c>
      <c r="Z13" s="1">
        <v>3034.8935890300068</v>
      </c>
      <c r="AA13" s="1">
        <v>541.78642819408435</v>
      </c>
      <c r="AB13" s="1">
        <v>483.99151352631583</v>
      </c>
      <c r="AC13" s="1">
        <v>1429.3997658650915</v>
      </c>
      <c r="AD13" s="1">
        <v>1477.2811581294338</v>
      </c>
      <c r="AE13" s="1">
        <v>-154.61725879871739</v>
      </c>
      <c r="AF13" s="5">
        <v>60.115565070621223</v>
      </c>
    </row>
    <row r="14" spans="1:32" x14ac:dyDescent="0.2">
      <c r="A14">
        <v>1980</v>
      </c>
      <c r="B14" s="1">
        <v>-1014.5316643092655</v>
      </c>
      <c r="C14" s="1"/>
      <c r="D14" s="1">
        <v>-279.44003388238292</v>
      </c>
      <c r="E14" s="1">
        <v>307.73149690648643</v>
      </c>
      <c r="F14" s="1"/>
      <c r="G14" s="1">
        <v>2018.4952312026826</v>
      </c>
      <c r="H14" s="1">
        <v>1641.6345666264649</v>
      </c>
      <c r="I14" s="1">
        <v>578.47806657822161</v>
      </c>
      <c r="J14" s="1">
        <v>8316.0250462858912</v>
      </c>
      <c r="K14" s="1">
        <v>4766.7119683540368</v>
      </c>
      <c r="L14" s="1">
        <v>512.68214433020705</v>
      </c>
      <c r="M14" s="1">
        <v>146.72652527626505</v>
      </c>
      <c r="N14" s="1">
        <v>766.55197014033729</v>
      </c>
      <c r="O14" s="1">
        <v>1541.5030023643642</v>
      </c>
      <c r="P14" s="1">
        <v>2586.2796094829218</v>
      </c>
      <c r="Q14" s="1">
        <v>267.56573334236197</v>
      </c>
      <c r="R14" s="1">
        <v>501.78846200499237</v>
      </c>
      <c r="S14" s="1">
        <v>5681.0831599143412</v>
      </c>
      <c r="T14" s="1"/>
      <c r="U14" s="1">
        <v>6961.1281818134439</v>
      </c>
      <c r="V14" s="1">
        <v>2195.5371935639696</v>
      </c>
      <c r="W14" s="1"/>
      <c r="X14" s="1">
        <v>554.8875480488548</v>
      </c>
      <c r="Y14" s="1">
        <v>3921.4058825426769</v>
      </c>
      <c r="Z14" s="1">
        <v>3862.7934378805107</v>
      </c>
      <c r="AA14" s="1">
        <v>2463.7745640506951</v>
      </c>
      <c r="AB14" s="1">
        <v>634.24659728792881</v>
      </c>
      <c r="AC14" s="1">
        <v>886.3391201102005</v>
      </c>
      <c r="AD14" s="1">
        <v>2269.6643356962613</v>
      </c>
      <c r="AE14" s="1">
        <v>968.33752790330652</v>
      </c>
      <c r="AF14" s="5">
        <v>53.057399673515768</v>
      </c>
    </row>
    <row r="15" spans="1:32" x14ac:dyDescent="0.2">
      <c r="A15">
        <v>1981</v>
      </c>
      <c r="B15" s="1">
        <v>7575.3988368470527</v>
      </c>
      <c r="C15" s="1"/>
      <c r="D15" s="1">
        <v>-244.94590803390227</v>
      </c>
      <c r="E15" s="1">
        <v>184.57031285455463</v>
      </c>
      <c r="F15" s="1"/>
      <c r="G15" s="1">
        <v>2276.0700989280681</v>
      </c>
      <c r="H15" s="1">
        <v>2992.9211826671253</v>
      </c>
      <c r="I15" s="1">
        <v>-414.20242864900695</v>
      </c>
      <c r="J15" s="1">
        <v>4068.5053770781683</v>
      </c>
      <c r="K15" s="1">
        <v>7753.923300122834</v>
      </c>
      <c r="L15" s="1">
        <v>149.9854027986419</v>
      </c>
      <c r="M15" s="1">
        <v>157.4284252128742</v>
      </c>
      <c r="N15" s="1">
        <v>-442.77587579169847</v>
      </c>
      <c r="O15" s="1">
        <v>-301.25082902992978</v>
      </c>
      <c r="P15" s="1">
        <v>2137.2560984588654</v>
      </c>
      <c r="Q15" s="1">
        <v>-5.5551388208521111</v>
      </c>
      <c r="R15" s="1">
        <v>225.36521501332112</v>
      </c>
      <c r="S15" s="1">
        <v>3719.4348507206728</v>
      </c>
      <c r="T15" s="1"/>
      <c r="U15" s="1">
        <v>16580.202645669204</v>
      </c>
      <c r="V15" s="1">
        <v>20.08169888391788</v>
      </c>
      <c r="W15" s="1">
        <v>-48.941858476792852</v>
      </c>
      <c r="X15" s="1">
        <v>632.94498511416828</v>
      </c>
      <c r="Y15" s="1">
        <v>-1941.5057034228755</v>
      </c>
      <c r="Z15" s="1">
        <v>3750.2222799752517</v>
      </c>
      <c r="AA15" s="1">
        <v>2070.8689651883087</v>
      </c>
      <c r="AB15" s="1">
        <v>-149.05583856795229</v>
      </c>
      <c r="AC15" s="1">
        <v>205.10054974943833</v>
      </c>
      <c r="AD15" s="1">
        <v>4246.1184396970284</v>
      </c>
      <c r="AE15" s="1">
        <v>1913.099248686585</v>
      </c>
      <c r="AF15" s="5">
        <v>57.111264332873077</v>
      </c>
    </row>
    <row r="16" spans="1:32" x14ac:dyDescent="0.2">
      <c r="A16">
        <v>1982</v>
      </c>
      <c r="B16" s="1">
        <v>6973.1602055531985</v>
      </c>
      <c r="C16" s="1"/>
      <c r="D16" s="1">
        <v>-150.82114611383426</v>
      </c>
      <c r="E16" s="1">
        <v>144.08574480791319</v>
      </c>
      <c r="F16" s="1"/>
      <c r="G16" s="1">
        <v>2300.1841641046171</v>
      </c>
      <c r="H16" s="1">
        <v>672.26139919948389</v>
      </c>
      <c r="I16" s="1">
        <v>1022.2274322253649</v>
      </c>
      <c r="J16" s="1">
        <v>4740.2957099763062</v>
      </c>
      <c r="K16" s="1">
        <v>11163.606574062927</v>
      </c>
      <c r="L16" s="1">
        <v>2624.4466654740777</v>
      </c>
      <c r="M16" s="1">
        <v>1112.9717815555789</v>
      </c>
      <c r="N16" s="1">
        <v>732.05041289798248</v>
      </c>
      <c r="O16" s="1">
        <v>45.960662993048778</v>
      </c>
      <c r="P16" s="1">
        <v>1323.6412043556591</v>
      </c>
      <c r="Q16" s="1">
        <v>34.870469026376597</v>
      </c>
      <c r="R16" s="1">
        <v>254.01018155405615</v>
      </c>
      <c r="S16" s="1">
        <v>5427.4754029886444</v>
      </c>
      <c r="T16" s="1"/>
      <c r="U16" s="1">
        <v>6081.8570064978057</v>
      </c>
      <c r="V16" s="1">
        <v>140.89763805563243</v>
      </c>
      <c r="W16" s="1">
        <v>372.48687297064191</v>
      </c>
      <c r="X16" s="1">
        <v>23.268950629562994</v>
      </c>
      <c r="Y16" s="1">
        <v>1970.8311773493042</v>
      </c>
      <c r="Z16" s="1">
        <v>734.28940236753817</v>
      </c>
      <c r="AA16" s="1">
        <v>1201.0574457082</v>
      </c>
      <c r="AB16" s="1">
        <v>-126.07411119182254</v>
      </c>
      <c r="AC16" s="1">
        <v>544.36498521590443</v>
      </c>
      <c r="AD16" s="1">
        <v>1839.8321349762493</v>
      </c>
      <c r="AE16" s="1">
        <v>2711.0446748450404</v>
      </c>
      <c r="AF16" s="5">
        <v>53.914283042085458</v>
      </c>
    </row>
    <row r="17" spans="1:32" x14ac:dyDescent="0.2">
      <c r="A17">
        <v>1983</v>
      </c>
      <c r="B17" s="1">
        <v>-150.25352472108929</v>
      </c>
      <c r="C17" s="1"/>
      <c r="D17" s="1">
        <v>-202.0163261611998</v>
      </c>
      <c r="E17" s="1">
        <v>131.83829967500662</v>
      </c>
      <c r="F17" s="1"/>
      <c r="G17" s="1">
        <v>2421.5207778407025</v>
      </c>
      <c r="H17" s="1">
        <v>-555.24321293763501</v>
      </c>
      <c r="I17" s="1">
        <v>1545.408651393627</v>
      </c>
      <c r="J17" s="1">
        <v>2773.756610773245</v>
      </c>
      <c r="K17" s="1">
        <v>6115.6901745858368</v>
      </c>
      <c r="L17" s="1">
        <v>3804.9866493228574</v>
      </c>
      <c r="M17" s="1">
        <v>1030.7939104603875</v>
      </c>
      <c r="N17" s="1">
        <v>687.07632869769679</v>
      </c>
      <c r="O17" s="1">
        <v>710.72541889812317</v>
      </c>
      <c r="P17" s="1">
        <v>1016.4599448490982</v>
      </c>
      <c r="Q17" s="1">
        <v>400.73317375318601</v>
      </c>
      <c r="R17" s="1">
        <v>-24.609996320369902</v>
      </c>
      <c r="S17" s="1">
        <v>2105.756514745548</v>
      </c>
      <c r="T17" s="1"/>
      <c r="U17" s="1">
        <v>23289.222941239106</v>
      </c>
      <c r="V17" s="1">
        <v>126.86149428874091</v>
      </c>
      <c r="W17" s="1">
        <v>-5.0628905327503979</v>
      </c>
      <c r="X17" s="1">
        <v>160.56448967755173</v>
      </c>
      <c r="Y17" s="1">
        <v>-418.16810254072919</v>
      </c>
      <c r="Z17" s="1">
        <v>-185.72990352846878</v>
      </c>
      <c r="AA17" s="1">
        <v>2046.1047261799533</v>
      </c>
      <c r="AB17" s="1">
        <v>865.33017673455481</v>
      </c>
      <c r="AC17" s="1">
        <v>465.10574096401609</v>
      </c>
      <c r="AD17" s="1">
        <v>539.70862491404159</v>
      </c>
      <c r="AE17" s="1">
        <v>1236.7665915959419</v>
      </c>
      <c r="AF17" s="5">
        <v>49.933327283846971</v>
      </c>
    </row>
    <row r="18" spans="1:32" x14ac:dyDescent="0.2">
      <c r="A18">
        <v>1984</v>
      </c>
      <c r="B18" s="1">
        <v>3163.8042270873325</v>
      </c>
      <c r="C18" s="1"/>
      <c r="D18" s="1">
        <v>-62.171574929859794</v>
      </c>
      <c r="E18" s="1">
        <v>125.42341550579783</v>
      </c>
      <c r="F18" s="1"/>
      <c r="G18" s="1">
        <v>3600.3691955877839</v>
      </c>
      <c r="H18" s="1">
        <v>1306.3877082092301</v>
      </c>
      <c r="I18" s="1">
        <v>806.24885412757851</v>
      </c>
      <c r="J18" s="1">
        <v>833.8821886206822</v>
      </c>
      <c r="K18" s="1">
        <v>4020.178686792246</v>
      </c>
      <c r="L18" s="1">
        <v>1419.7393914367201</v>
      </c>
      <c r="M18" s="1">
        <v>527.04581876977602</v>
      </c>
      <c r="N18" s="1">
        <v>825.62607124870692</v>
      </c>
      <c r="O18" s="1">
        <v>-515.02937340016945</v>
      </c>
      <c r="P18" s="1">
        <v>920.41748620765702</v>
      </c>
      <c r="Q18" s="1">
        <v>110.42525034480369</v>
      </c>
      <c r="R18" s="1">
        <v>-221.56879257041601</v>
      </c>
      <c r="S18" s="1">
        <v>2628.8940081904229</v>
      </c>
      <c r="T18" s="1"/>
      <c r="U18" s="1">
        <v>1528.2441762261219</v>
      </c>
      <c r="V18" s="1">
        <v>218.18609245584034</v>
      </c>
      <c r="W18" s="1">
        <v>61.673804411944815</v>
      </c>
      <c r="X18" s="1">
        <v>-50.721013932521899</v>
      </c>
      <c r="Y18" s="1">
        <v>-2005.6881430024494</v>
      </c>
      <c r="Z18" s="1">
        <v>2654.3990700791292</v>
      </c>
      <c r="AA18" s="1">
        <v>1006.2337773463719</v>
      </c>
      <c r="AB18" s="1">
        <v>-1504.6262551676475</v>
      </c>
      <c r="AC18" s="1">
        <v>151.28884405268056</v>
      </c>
      <c r="AD18" s="1">
        <v>1334.4136555351254</v>
      </c>
      <c r="AE18" s="1">
        <v>101.95721742347898</v>
      </c>
      <c r="AF18" s="5">
        <v>22.985033786656366</v>
      </c>
    </row>
    <row r="19" spans="1:32" x14ac:dyDescent="0.2">
      <c r="A19">
        <v>1985</v>
      </c>
      <c r="B19" s="1">
        <v>6912.9073942536706</v>
      </c>
      <c r="C19" s="1"/>
      <c r="D19" s="1">
        <v>40.667112057009561</v>
      </c>
      <c r="E19" s="1">
        <v>101.35400045202314</v>
      </c>
      <c r="F19" s="1">
        <v>330.62537990357055</v>
      </c>
      <c r="G19" s="1">
        <v>2356.2033519448955</v>
      </c>
      <c r="H19" s="1">
        <v>2237.2759291243597</v>
      </c>
      <c r="I19" s="1">
        <v>1628.0855406233279</v>
      </c>
      <c r="J19" s="1">
        <v>906.82869723470117</v>
      </c>
      <c r="K19" s="1">
        <v>-865.80433849178723</v>
      </c>
      <c r="L19" s="1">
        <v>769.94084162181059</v>
      </c>
      <c r="M19" s="1">
        <v>675.85208816562795</v>
      </c>
      <c r="N19" s="1">
        <v>851.04602144032663</v>
      </c>
      <c r="O19" s="1">
        <v>835.87259048828753</v>
      </c>
      <c r="P19" s="1">
        <v>978.40771348287046</v>
      </c>
      <c r="Q19" s="1">
        <v>304.58423567312985</v>
      </c>
      <c r="R19" s="1">
        <v>90.362000435006948</v>
      </c>
      <c r="S19" s="1">
        <v>3542.8644586243231</v>
      </c>
      <c r="T19" s="1">
        <v>3598.8287567591842</v>
      </c>
      <c r="U19" s="1">
        <v>-12.206119761771417</v>
      </c>
      <c r="V19" s="1">
        <v>259.61255541480108</v>
      </c>
      <c r="W19" s="1">
        <v>105.1914032859663</v>
      </c>
      <c r="X19" s="1">
        <v>57.687994099536212</v>
      </c>
      <c r="Y19" s="1">
        <v>855.4218640218711</v>
      </c>
      <c r="Z19" s="1">
        <v>499.32716185492626</v>
      </c>
      <c r="AA19" s="1">
        <v>3919.3625757161562</v>
      </c>
      <c r="AB19" s="1">
        <v>1133.5919077794456</v>
      </c>
      <c r="AC19" s="1">
        <v>427.24200056534954</v>
      </c>
      <c r="AD19" s="1">
        <v>3664.9295230359817</v>
      </c>
      <c r="AE19" s="1">
        <v>392.53488014611372</v>
      </c>
      <c r="AF19" s="5">
        <v>36.598597519950715</v>
      </c>
    </row>
    <row r="20" spans="1:32" x14ac:dyDescent="0.2">
      <c r="A20">
        <v>1986</v>
      </c>
      <c r="B20" s="1">
        <v>12311.001740214851</v>
      </c>
      <c r="C20" s="1">
        <v>1233.2227429651489</v>
      </c>
      <c r="D20" s="1">
        <v>-75.081835127287491</v>
      </c>
      <c r="E20" s="1">
        <v>280.63671743100639</v>
      </c>
      <c r="F20" s="1">
        <v>388.63143220823349</v>
      </c>
      <c r="G20" s="1">
        <v>4620.5329239841321</v>
      </c>
      <c r="H20" s="1">
        <v>842.71521111886796</v>
      </c>
      <c r="I20" s="1">
        <v>616.75166504259198</v>
      </c>
      <c r="J20" s="1">
        <v>2747.1858275249806</v>
      </c>
      <c r="K20" s="1">
        <v>5283.1605955766008</v>
      </c>
      <c r="L20" s="1">
        <v>1638.4090533474985</v>
      </c>
      <c r="M20" s="1">
        <v>1617.3330658514571</v>
      </c>
      <c r="N20" s="1">
        <v>-64.310419077062221</v>
      </c>
      <c r="O20" s="1">
        <v>-670.17114182392561</v>
      </c>
      <c r="P20" s="1">
        <v>1138.0918953046594</v>
      </c>
      <c r="Q20" s="1">
        <v>363.94673195389959</v>
      </c>
      <c r="R20" s="1">
        <v>336.13436262278833</v>
      </c>
      <c r="S20" s="1">
        <v>3408.6637296026738</v>
      </c>
      <c r="T20" s="1">
        <v>258.59825325917916</v>
      </c>
      <c r="U20" s="1">
        <v>8754.3055326676349</v>
      </c>
      <c r="V20" s="1">
        <v>265.37190122850359</v>
      </c>
      <c r="W20" s="1">
        <v>177.0570396537145</v>
      </c>
      <c r="X20" s="1">
        <v>267.81442838421367</v>
      </c>
      <c r="Y20" s="1">
        <v>-2945.3346246758701</v>
      </c>
      <c r="Z20" s="1">
        <v>663.79501903285745</v>
      </c>
      <c r="AA20" s="1">
        <v>-10569.217810014306</v>
      </c>
      <c r="AB20" s="1">
        <v>2068.8628580398622</v>
      </c>
      <c r="AC20" s="1">
        <v>382.31234755443728</v>
      </c>
      <c r="AD20" s="1">
        <v>1899.916899953068</v>
      </c>
      <c r="AE20" s="1">
        <v>1079.2788445700951</v>
      </c>
      <c r="AF20" s="5">
        <v>38.319614988374497</v>
      </c>
    </row>
    <row r="21" spans="1:32" x14ac:dyDescent="0.2">
      <c r="A21">
        <v>1987</v>
      </c>
      <c r="B21" s="1">
        <v>2271.5095844393209</v>
      </c>
      <c r="C21" s="1">
        <v>7662.2280084315134</v>
      </c>
      <c r="D21" s="1">
        <v>213.70613630817581</v>
      </c>
      <c r="E21" s="1">
        <v>350.1054937557235</v>
      </c>
      <c r="F21" s="1">
        <v>588.43285128435025</v>
      </c>
      <c r="G21" s="1">
        <v>4519.6619795123515</v>
      </c>
      <c r="H21" s="1">
        <v>88.355377928106009</v>
      </c>
      <c r="I21" s="1">
        <v>2027.4107649390173</v>
      </c>
      <c r="J21" s="1">
        <v>2741.2463850031818</v>
      </c>
      <c r="K21" s="1">
        <v>3772.5932484967793</v>
      </c>
      <c r="L21" s="1">
        <v>2296.382383037545</v>
      </c>
      <c r="M21" s="1">
        <v>1170.5968975980247</v>
      </c>
      <c r="N21" s="1">
        <v>1243.1853886837278</v>
      </c>
      <c r="O21" s="1">
        <v>1552.6547407527319</v>
      </c>
      <c r="P21" s="1">
        <v>1540.626566278537</v>
      </c>
      <c r="Q21" s="1">
        <v>336.93721346904454</v>
      </c>
      <c r="R21" s="1">
        <v>503.79061815193137</v>
      </c>
      <c r="S21" s="1">
        <v>4891.001376282642</v>
      </c>
      <c r="T21" s="1">
        <v>2617.6315698581698</v>
      </c>
      <c r="U21" s="1">
        <v>9873.0293473041584</v>
      </c>
      <c r="V21" s="1">
        <v>312.52681257668053</v>
      </c>
      <c r="W21" s="1">
        <v>96.671613788180295</v>
      </c>
      <c r="X21" s="1">
        <v>180.28082043508385</v>
      </c>
      <c r="Y21" s="1">
        <v>1553.919558010542</v>
      </c>
      <c r="Z21" s="1">
        <v>3220.223227373217</v>
      </c>
      <c r="AA21" s="1">
        <v>251.26501647403092</v>
      </c>
      <c r="AB21" s="1">
        <v>1056.1281090514406</v>
      </c>
      <c r="AC21" s="1">
        <v>998.23581637084101</v>
      </c>
      <c r="AD21" s="1">
        <v>2085.2114327848158</v>
      </c>
      <c r="AE21" s="1">
        <v>1503.2207234562813</v>
      </c>
      <c r="AF21" s="5">
        <v>61.518769061836146</v>
      </c>
    </row>
    <row r="22" spans="1:32" x14ac:dyDescent="0.2">
      <c r="A22">
        <v>1988</v>
      </c>
      <c r="B22" s="1">
        <v>6528.3829322134843</v>
      </c>
      <c r="C22" s="1">
        <v>2348.3935972949389</v>
      </c>
      <c r="D22" s="1">
        <v>-473.07859269989223</v>
      </c>
      <c r="E22" s="1">
        <v>150.68866419614869</v>
      </c>
      <c r="F22" s="1">
        <v>288.70097393984116</v>
      </c>
      <c r="G22" s="1">
        <v>816.24651706746306</v>
      </c>
      <c r="H22" s="1">
        <v>-1179.4263045514244</v>
      </c>
      <c r="I22" s="1">
        <v>180.56816646215674</v>
      </c>
      <c r="J22" s="1">
        <v>1052.9154201115989</v>
      </c>
      <c r="K22" s="1">
        <v>5455.6568982985427</v>
      </c>
      <c r="L22" s="1">
        <v>1851.0213614926517</v>
      </c>
      <c r="M22" s="1">
        <v>1067.4922284142776</v>
      </c>
      <c r="N22" s="1">
        <v>-411.32495666682405</v>
      </c>
      <c r="O22" s="1">
        <v>-51.391405661272181</v>
      </c>
      <c r="P22" s="1">
        <v>497.99919625147902</v>
      </c>
      <c r="Q22" s="1">
        <v>160.70732020295108</v>
      </c>
      <c r="R22" s="1">
        <v>169.55096885323744</v>
      </c>
      <c r="S22" s="1">
        <v>1900.302997732827</v>
      </c>
      <c r="T22" s="1">
        <v>286.89325315008159</v>
      </c>
      <c r="U22" s="1">
        <v>2298.1500371179759</v>
      </c>
      <c r="V22" s="1">
        <v>369.24253259672594</v>
      </c>
      <c r="W22" s="1">
        <v>280.99612865554332</v>
      </c>
      <c r="X22" s="1">
        <v>133.05603548662617</v>
      </c>
      <c r="Y22" s="1">
        <v>-1131.1800811643009</v>
      </c>
      <c r="Z22" s="1">
        <v>1344.8641792994963</v>
      </c>
      <c r="AA22" s="1">
        <v>1374.8603069566632</v>
      </c>
      <c r="AB22" s="1">
        <v>1366.8263530328063</v>
      </c>
      <c r="AC22" s="1">
        <v>-259.79828667378786</v>
      </c>
      <c r="AD22" s="1">
        <v>2006.6009292526553</v>
      </c>
      <c r="AE22" s="1">
        <v>-126.36177090072199</v>
      </c>
      <c r="AF22" s="5">
        <v>28.297555599761946</v>
      </c>
    </row>
    <row r="23" spans="1:32" x14ac:dyDescent="0.2">
      <c r="A23">
        <v>1989</v>
      </c>
      <c r="B23" s="1">
        <v>7217.5931225703516</v>
      </c>
      <c r="C23" s="1">
        <v>3476.3613950008489</v>
      </c>
      <c r="D23" s="1">
        <v>115.35442087814342</v>
      </c>
      <c r="E23" s="1">
        <v>993.60675258476408</v>
      </c>
      <c r="F23" s="1">
        <v>560.13512458245145</v>
      </c>
      <c r="G23" s="1">
        <v>3025.9833517317875</v>
      </c>
      <c r="H23" s="1">
        <v>-391.64429883557847</v>
      </c>
      <c r="I23" s="1">
        <v>366.19992738502941</v>
      </c>
      <c r="J23" s="1">
        <v>1515.166021418825</v>
      </c>
      <c r="K23" s="1">
        <v>-433.41768229648773</v>
      </c>
      <c r="L23" s="1">
        <v>508.93440991187424</v>
      </c>
      <c r="M23" s="1">
        <v>836.61535787596097</v>
      </c>
      <c r="N23" s="1">
        <v>742.54092840985254</v>
      </c>
      <c r="O23" s="1">
        <v>2032.386039296405</v>
      </c>
      <c r="P23" s="1">
        <v>731.58493987317206</v>
      </c>
      <c r="Q23" s="1">
        <v>624.91665396077997</v>
      </c>
      <c r="R23" s="1">
        <v>235.53245772161944</v>
      </c>
      <c r="S23" s="1">
        <v>3491.1699262303146</v>
      </c>
      <c r="T23" s="1">
        <v>490.50217964449263</v>
      </c>
      <c r="U23" s="1">
        <v>6339.248096908038</v>
      </c>
      <c r="V23" s="1">
        <v>376.25697717274682</v>
      </c>
      <c r="W23" s="1">
        <v>-324.57426720365123</v>
      </c>
      <c r="X23" s="1">
        <v>-132.74190047724554</v>
      </c>
      <c r="Y23" s="1">
        <v>10035.823703355938</v>
      </c>
      <c r="Z23" s="1">
        <v>2524.82546122451</v>
      </c>
      <c r="AA23" s="1">
        <v>19.804589186744142</v>
      </c>
      <c r="AB23" s="1">
        <v>1040.1173960031151</v>
      </c>
      <c r="AC23" s="1">
        <v>579.56863117747173</v>
      </c>
      <c r="AD23" s="1">
        <v>6176.6518448379557</v>
      </c>
      <c r="AE23" s="1">
        <v>1786.7445455492987</v>
      </c>
      <c r="AF23" s="5">
        <v>54.561246105679537</v>
      </c>
    </row>
    <row r="24" spans="1:32" x14ac:dyDescent="0.2">
      <c r="A24">
        <v>1990</v>
      </c>
      <c r="B24" s="1">
        <v>4889.277476621548</v>
      </c>
      <c r="C24" s="1">
        <v>2262.608345529316</v>
      </c>
      <c r="D24" s="1">
        <v>-515.30518149218824</v>
      </c>
      <c r="E24" s="1">
        <v>161.95901341636508</v>
      </c>
      <c r="F24" s="1">
        <v>640.40427658164208</v>
      </c>
      <c r="G24" s="1">
        <v>2061.3791646057325</v>
      </c>
      <c r="H24" s="1">
        <v>775.76523608883315</v>
      </c>
      <c r="I24" s="1">
        <v>945.88315226207737</v>
      </c>
      <c r="J24" s="1">
        <v>4890.2998833510637</v>
      </c>
      <c r="K24" s="1">
        <v>-24592.518998399129</v>
      </c>
      <c r="L24" s="1">
        <v>326.33782760763694</v>
      </c>
      <c r="M24" s="1">
        <v>693.3010131529694</v>
      </c>
      <c r="N24" s="1">
        <v>1155.4380008243627</v>
      </c>
      <c r="O24" s="1">
        <v>2553.8751706353341</v>
      </c>
      <c r="P24" s="1">
        <v>767.43490623371781</v>
      </c>
      <c r="Q24" s="1">
        <v>594.29335287187473</v>
      </c>
      <c r="R24" s="1">
        <v>445.30206631514437</v>
      </c>
      <c r="S24" s="1">
        <v>5792.0214516022097</v>
      </c>
      <c r="T24" s="1">
        <v>2878.4504126754096</v>
      </c>
      <c r="U24" s="1">
        <v>4058.719591009557</v>
      </c>
      <c r="V24" s="1">
        <v>229.1872784709719</v>
      </c>
      <c r="W24" s="1">
        <v>55.467187735750038</v>
      </c>
      <c r="X24" s="1">
        <v>-80.193181123708683</v>
      </c>
      <c r="Y24" s="1">
        <v>-4615.7739075093477</v>
      </c>
      <c r="Z24" s="1">
        <v>1571.228353890727</v>
      </c>
      <c r="AA24" s="1">
        <v>-40.270890439559828</v>
      </c>
      <c r="AB24" s="1">
        <v>1877.8089150651826</v>
      </c>
      <c r="AC24" s="1">
        <v>847.48612397307625</v>
      </c>
      <c r="AD24" s="1">
        <v>2040.9792514246221</v>
      </c>
      <c r="AE24" s="1">
        <v>1299.9562923800715</v>
      </c>
      <c r="AF24" s="5">
        <v>13.970801585361263</v>
      </c>
    </row>
    <row r="25" spans="1:32" x14ac:dyDescent="0.2">
      <c r="A25">
        <v>1991</v>
      </c>
      <c r="B25" s="1">
        <v>1891.4143948062454</v>
      </c>
      <c r="C25" s="1">
        <v>404.53157144407083</v>
      </c>
      <c r="D25" s="1">
        <v>213.49165443766626</v>
      </c>
      <c r="E25" s="1">
        <v>146.90334295901329</v>
      </c>
      <c r="F25" s="1">
        <v>302.14028221051535</v>
      </c>
      <c r="G25" s="1">
        <v>151.71655770891465</v>
      </c>
      <c r="H25" s="1">
        <v>-603.9864678823742</v>
      </c>
      <c r="I25" s="1">
        <v>-269.1757679312887</v>
      </c>
      <c r="J25" s="1">
        <v>2763.91051762077</v>
      </c>
      <c r="K25" s="1">
        <v>-7006.8233924293954</v>
      </c>
      <c r="L25" s="1">
        <v>812.87939632806331</v>
      </c>
      <c r="M25" s="1">
        <v>261.83501597896947</v>
      </c>
      <c r="N25" s="1">
        <v>636.96334181321242</v>
      </c>
      <c r="O25" s="1">
        <v>555.46451937513541</v>
      </c>
      <c r="P25" s="1">
        <v>930.98160411070603</v>
      </c>
      <c r="Q25" s="1">
        <v>-147.58575105213825</v>
      </c>
      <c r="R25" s="1">
        <v>87.806489437046309</v>
      </c>
      <c r="S25" s="1">
        <v>8821.537506372506</v>
      </c>
      <c r="T25" s="1">
        <v>1422.9608154243026</v>
      </c>
      <c r="U25" s="1">
        <v>8947.7426103760645</v>
      </c>
      <c r="V25" s="1">
        <v>220.33872786322823</v>
      </c>
      <c r="W25" s="1">
        <v>159.56635503890101</v>
      </c>
      <c r="X25" s="1">
        <v>346.23356988661772</v>
      </c>
      <c r="Y25" s="1">
        <v>2826.9365260427712</v>
      </c>
      <c r="Z25" s="1">
        <v>1076.9974047692401</v>
      </c>
      <c r="AA25" s="1">
        <v>-424.37854827030986</v>
      </c>
      <c r="AB25" s="1">
        <v>1181.267659892648</v>
      </c>
      <c r="AC25" s="1">
        <v>327.16907123412648</v>
      </c>
      <c r="AD25" s="1">
        <v>953.77363520981203</v>
      </c>
      <c r="AE25" s="1">
        <v>1350.5615680618218</v>
      </c>
      <c r="AF25" s="5">
        <v>28.34317421083686</v>
      </c>
    </row>
    <row r="26" spans="1:32" x14ac:dyDescent="0.2">
      <c r="A26">
        <v>1992</v>
      </c>
      <c r="B26" s="1">
        <v>4477.0795206966877</v>
      </c>
      <c r="C26" s="1">
        <v>1561.2470426089565</v>
      </c>
      <c r="D26" s="1">
        <v>135.65245220628395</v>
      </c>
      <c r="E26" s="1">
        <v>278.5000409051292</v>
      </c>
      <c r="F26" s="1">
        <v>465.26041088430253</v>
      </c>
      <c r="G26" s="1">
        <v>2501.1951870658213</v>
      </c>
      <c r="H26" s="1">
        <v>-1068.7965399316386</v>
      </c>
      <c r="I26" s="1">
        <v>160.74389293890763</v>
      </c>
      <c r="J26" s="1">
        <v>2153.8993596106147</v>
      </c>
      <c r="K26" s="1">
        <v>-6235.7008635455404</v>
      </c>
      <c r="L26" s="1">
        <v>-413.36239815638532</v>
      </c>
      <c r="M26" s="1">
        <v>-248.23322448961306</v>
      </c>
      <c r="N26" s="1">
        <v>476.36561646687215</v>
      </c>
      <c r="O26" s="1">
        <v>-1109.0913809759816</v>
      </c>
      <c r="P26" s="1">
        <v>601.76080814061493</v>
      </c>
      <c r="Q26" s="1">
        <v>-164.99563552798912</v>
      </c>
      <c r="R26" s="1">
        <v>-273.53395738724697</v>
      </c>
      <c r="S26" s="1">
        <v>3834.3852653622998</v>
      </c>
      <c r="T26" s="1">
        <v>1256.1413533664645</v>
      </c>
      <c r="U26" s="1">
        <v>1004.9351561424601</v>
      </c>
      <c r="V26" s="1">
        <v>35.330371586866562</v>
      </c>
      <c r="W26" s="1">
        <v>-7.1676602740959838</v>
      </c>
      <c r="X26" s="1">
        <v>774.86588349796841</v>
      </c>
      <c r="Y26" s="1">
        <v>5820.9552502659762</v>
      </c>
      <c r="Z26" s="1">
        <v>794.88204878960141</v>
      </c>
      <c r="AA26" s="1">
        <v>-45.16394522834733</v>
      </c>
      <c r="AB26" s="1">
        <v>745.29844682596331</v>
      </c>
      <c r="AC26" s="1">
        <v>412.56513184557247</v>
      </c>
      <c r="AD26" s="1">
        <v>214.09399891041079</v>
      </c>
      <c r="AE26" s="1">
        <v>2547.1621465642766</v>
      </c>
      <c r="AF26" s="5">
        <v>20.686273779165212</v>
      </c>
    </row>
    <row r="27" spans="1:32" x14ac:dyDescent="0.2">
      <c r="A27">
        <v>1993</v>
      </c>
      <c r="B27" s="1">
        <v>3037.6343296360042</v>
      </c>
      <c r="C27" s="1">
        <v>1154.1011876864768</v>
      </c>
      <c r="D27" s="1">
        <v>79.220269340205348</v>
      </c>
      <c r="E27" s="1">
        <v>254.85938130071762</v>
      </c>
      <c r="F27" s="1">
        <v>290.10567368920175</v>
      </c>
      <c r="G27" s="1">
        <v>811.76901987311817</v>
      </c>
      <c r="H27" s="1">
        <v>-205.76768996633393</v>
      </c>
      <c r="I27" s="1">
        <v>390.6146372674371</v>
      </c>
      <c r="J27" s="1">
        <v>1829.6863002344646</v>
      </c>
      <c r="K27" s="1">
        <v>-3992.1539438745504</v>
      </c>
      <c r="L27" s="1">
        <v>-511.04947871061785</v>
      </c>
      <c r="M27" s="1">
        <v>141.17038562219355</v>
      </c>
      <c r="N27" s="1">
        <v>654.88206759090133</v>
      </c>
      <c r="O27" s="1">
        <v>449.1570780607326</v>
      </c>
      <c r="P27" s="1">
        <v>549.39369613129838</v>
      </c>
      <c r="Q27" s="1">
        <v>152.38065449854204</v>
      </c>
      <c r="R27" s="1">
        <v>251.64862086273604</v>
      </c>
      <c r="S27" s="1">
        <v>1520.3669080739273</v>
      </c>
      <c r="T27" s="1">
        <v>1387.03148620621</v>
      </c>
      <c r="U27" s="1">
        <v>1352.7642478830503</v>
      </c>
      <c r="V27" s="1">
        <v>-23.152691229366628</v>
      </c>
      <c r="W27" s="1">
        <v>-118.72600282252188</v>
      </c>
      <c r="X27" s="1">
        <v>305.50348328869455</v>
      </c>
      <c r="Y27" s="1">
        <v>4995.2964591569253</v>
      </c>
      <c r="Z27" s="1">
        <v>525.36852244296301</v>
      </c>
      <c r="AA27" s="1">
        <v>-476.32287784135417</v>
      </c>
      <c r="AB27" s="1">
        <v>919.06555083947853</v>
      </c>
      <c r="AC27" s="1">
        <v>321.15626527282751</v>
      </c>
      <c r="AD27" s="1">
        <v>14.325817811821226</v>
      </c>
      <c r="AE27" s="1">
        <v>695.61675271661829</v>
      </c>
      <c r="AF27" s="5">
        <v>16.755946111041801</v>
      </c>
    </row>
    <row r="28" spans="1:32" x14ac:dyDescent="0.2">
      <c r="A28">
        <v>1994</v>
      </c>
      <c r="B28" s="1">
        <v>2735.2587172388153</v>
      </c>
      <c r="C28" s="1">
        <v>1212.7185716061285</v>
      </c>
      <c r="D28" s="1">
        <v>269.73835763581093</v>
      </c>
      <c r="E28" s="1">
        <v>553.28745290509778</v>
      </c>
      <c r="F28" s="1">
        <v>102.28367606197982</v>
      </c>
      <c r="G28" s="1">
        <v>4660.6126555988458</v>
      </c>
      <c r="H28" s="1">
        <v>61.262963652101817</v>
      </c>
      <c r="I28" s="1">
        <v>1849.8178098601584</v>
      </c>
      <c r="J28" s="1">
        <v>1955.6703387220975</v>
      </c>
      <c r="K28" s="1">
        <v>-3925.9864715972153</v>
      </c>
      <c r="L28" s="1">
        <v>-126.49343131051118</v>
      </c>
      <c r="M28" s="1">
        <v>954.28174891743481</v>
      </c>
      <c r="N28" s="1">
        <v>781.57954952267448</v>
      </c>
      <c r="O28" s="1">
        <v>-872.55521448683294</v>
      </c>
      <c r="P28" s="1">
        <v>537.18445011054428</v>
      </c>
      <c r="Q28" s="1">
        <v>221.364775994491</v>
      </c>
      <c r="R28" s="1">
        <v>224.01413660615708</v>
      </c>
      <c r="S28" s="1">
        <v>3374.3258918943443</v>
      </c>
      <c r="T28" s="1">
        <v>4864.4078515019573</v>
      </c>
      <c r="U28" s="1">
        <v>-202.07544060155024</v>
      </c>
      <c r="V28" s="1">
        <v>245.90656908422136</v>
      </c>
      <c r="W28" s="1">
        <v>84.290378587412391</v>
      </c>
      <c r="X28" s="1">
        <v>526.9488645721076</v>
      </c>
      <c r="Y28" s="1">
        <v>5773.8343701435597</v>
      </c>
      <c r="Z28" s="1">
        <v>72.886593744318361</v>
      </c>
      <c r="AA28" s="1">
        <v>-228.7158253998025</v>
      </c>
      <c r="AB28" s="1">
        <v>1875.676559550508</v>
      </c>
      <c r="AC28" s="1">
        <v>472.08552942035288</v>
      </c>
      <c r="AD28" s="1">
        <v>1360.150031840943</v>
      </c>
      <c r="AE28" s="1">
        <v>-330.6387182973848</v>
      </c>
      <c r="AF28" s="5">
        <v>29.083122743078757</v>
      </c>
    </row>
    <row r="29" spans="1:32" x14ac:dyDescent="0.2">
      <c r="A29">
        <v>1995</v>
      </c>
      <c r="B29" s="1">
        <v>7115.8128529341666</v>
      </c>
      <c r="C29" s="1">
        <v>174.43407022461901</v>
      </c>
      <c r="D29" s="1">
        <v>133.18875143970874</v>
      </c>
      <c r="E29" s="1">
        <v>-66.709613028128445</v>
      </c>
      <c r="F29" s="1">
        <v>438.03334323577621</v>
      </c>
      <c r="G29" s="1">
        <v>2344.4998714541157</v>
      </c>
      <c r="H29" s="1">
        <v>1488.9383802151947</v>
      </c>
      <c r="I29" s="1">
        <v>994.65072318251043</v>
      </c>
      <c r="J29" s="1">
        <v>3014.3249483111754</v>
      </c>
      <c r="K29" s="1">
        <v>-4972.8150391245053</v>
      </c>
      <c r="L29" s="1">
        <v>237.3466684835154</v>
      </c>
      <c r="M29" s="1">
        <v>484.48351677694961</v>
      </c>
      <c r="N29" s="1">
        <v>1002.9944406882288</v>
      </c>
      <c r="O29" s="1">
        <v>-2110.7587594011534</v>
      </c>
      <c r="P29" s="1">
        <v>727.00650668781668</v>
      </c>
      <c r="Q29" s="1">
        <v>610.92435969086091</v>
      </c>
      <c r="R29" s="1">
        <v>323.73794777222201</v>
      </c>
      <c r="S29" s="1">
        <v>3173.4624345417151</v>
      </c>
      <c r="T29" s="1">
        <v>894.9133304152183</v>
      </c>
      <c r="U29" s="1">
        <v>2783.6764096653819</v>
      </c>
      <c r="V29" s="1">
        <v>165.97980183830825</v>
      </c>
      <c r="W29" s="1">
        <v>0.49871260409385959</v>
      </c>
      <c r="X29" s="1">
        <v>643.30449504162323</v>
      </c>
      <c r="Y29" s="1">
        <v>8007.4278822709803</v>
      </c>
      <c r="Z29" s="1">
        <v>264.89617753466877</v>
      </c>
      <c r="AA29" s="1">
        <v>-25.041291186663237</v>
      </c>
      <c r="AB29" s="1">
        <v>2317.9325392081014</v>
      </c>
      <c r="AC29" s="1">
        <v>447.33651885642666</v>
      </c>
      <c r="AD29" s="1">
        <v>524.8093614330229</v>
      </c>
      <c r="AE29" s="1">
        <v>-116.39567911199794</v>
      </c>
      <c r="AF29" s="5">
        <v>31.022893662653953</v>
      </c>
    </row>
    <row r="30" spans="1:32" x14ac:dyDescent="0.2">
      <c r="A30">
        <v>1996</v>
      </c>
      <c r="B30" s="1">
        <v>9961.614072508999</v>
      </c>
      <c r="C30" s="1">
        <v>5899.5088398547341</v>
      </c>
      <c r="D30" s="1">
        <v>-86.958456909706797</v>
      </c>
      <c r="E30" s="1">
        <v>-83.095442564336935</v>
      </c>
      <c r="F30" s="1">
        <v>156.18773595915366</v>
      </c>
      <c r="G30" s="1">
        <v>116.71834414755679</v>
      </c>
      <c r="H30" s="1">
        <v>64.625901516778157</v>
      </c>
      <c r="I30" s="1">
        <v>-733.95037794592167</v>
      </c>
      <c r="J30" s="1">
        <v>416.74245094354393</v>
      </c>
      <c r="K30" s="1">
        <v>-6629.8816233098987</v>
      </c>
      <c r="L30" s="1">
        <v>-81.095897838345806</v>
      </c>
      <c r="M30" s="1">
        <v>-73.600603489185801</v>
      </c>
      <c r="N30" s="1">
        <v>1039.0419098199309</v>
      </c>
      <c r="O30" s="1">
        <v>-2166.2888465867632</v>
      </c>
      <c r="P30" s="1">
        <v>165.80819661126048</v>
      </c>
      <c r="Q30" s="1">
        <v>382.97587312303574</v>
      </c>
      <c r="R30" s="1">
        <v>201.02278827678123</v>
      </c>
      <c r="S30" s="1">
        <v>5554.52382042308</v>
      </c>
      <c r="T30" s="1">
        <v>839.2569113507642</v>
      </c>
      <c r="U30" s="1">
        <v>-2096.8086956462939</v>
      </c>
      <c r="V30" s="1">
        <v>5.571658730891162</v>
      </c>
      <c r="W30" s="1">
        <v>-234.37822250707003</v>
      </c>
      <c r="X30" s="1">
        <v>216.11124346881815</v>
      </c>
      <c r="Y30" s="1">
        <v>5577.3309617098012</v>
      </c>
      <c r="Z30" s="1">
        <v>-2059.787000922297</v>
      </c>
      <c r="AA30" s="1">
        <v>-432.70285291721547</v>
      </c>
      <c r="AB30" s="1">
        <v>2122.1437555101552</v>
      </c>
      <c r="AC30" s="1">
        <v>25.734241047317983</v>
      </c>
      <c r="AD30" s="1">
        <v>-137.02468324179182</v>
      </c>
      <c r="AE30" s="1">
        <v>-608.94973042637037</v>
      </c>
      <c r="AF30" s="5">
        <v>17.320396270697408</v>
      </c>
    </row>
    <row r="31" spans="1:32" x14ac:dyDescent="0.2">
      <c r="A31">
        <v>1997</v>
      </c>
      <c r="B31" s="1">
        <v>865.78802439400715</v>
      </c>
      <c r="C31" s="1">
        <v>-710.96717462184859</v>
      </c>
      <c r="D31" s="1">
        <v>115.76977789803452</v>
      </c>
      <c r="E31" s="1">
        <v>-272.1273327592375</v>
      </c>
      <c r="F31" s="1">
        <v>1.6645045132389891</v>
      </c>
      <c r="G31" s="1">
        <v>1657.3668974848385</v>
      </c>
      <c r="H31" s="1">
        <v>-706.04098346921376</v>
      </c>
      <c r="I31" s="1">
        <v>71.108283872396143</v>
      </c>
      <c r="J31" s="1">
        <v>9304.1851764126422</v>
      </c>
      <c r="K31" s="1">
        <v>-6737.2861538387833</v>
      </c>
      <c r="L31" s="1">
        <v>907.71865816801687</v>
      </c>
      <c r="M31" s="1">
        <v>290.47040268598255</v>
      </c>
      <c r="N31" s="1">
        <v>-27.126186098723849</v>
      </c>
      <c r="O31" s="1">
        <v>-2307.8601704606672</v>
      </c>
      <c r="P31" s="1">
        <v>1142.2576393940171</v>
      </c>
      <c r="Q31" s="1">
        <v>-319.59385257466181</v>
      </c>
      <c r="R31" s="1">
        <v>244.17806700557637</v>
      </c>
      <c r="S31" s="1">
        <v>3173.4543238345591</v>
      </c>
      <c r="T31" s="1">
        <v>1282.9947401149664</v>
      </c>
      <c r="U31" s="1">
        <v>2957.366131029813</v>
      </c>
      <c r="V31" s="1">
        <v>-5.8327258068424772</v>
      </c>
      <c r="W31" s="1">
        <v>25.562260768320119</v>
      </c>
      <c r="X31" s="1">
        <v>306.31776342973586</v>
      </c>
      <c r="Y31" s="1">
        <v>10108.755265543819</v>
      </c>
      <c r="Z31" s="1">
        <v>-1737.8688650955819</v>
      </c>
      <c r="AA31" s="1">
        <v>-31.936208505379959</v>
      </c>
      <c r="AB31" s="1">
        <v>1162.1374569129812</v>
      </c>
      <c r="AC31" s="1">
        <v>379.9526356796826</v>
      </c>
      <c r="AD31" s="1">
        <v>982.73100680198934</v>
      </c>
      <c r="AE31" s="1">
        <v>479.21309167930838</v>
      </c>
      <c r="AF31" s="5">
        <v>22.602352454392982</v>
      </c>
    </row>
    <row r="32" spans="1:32" x14ac:dyDescent="0.2">
      <c r="A32">
        <v>1998</v>
      </c>
      <c r="B32" s="1">
        <v>2643.5012407877534</v>
      </c>
      <c r="C32" s="1">
        <v>302.71490366708758</v>
      </c>
      <c r="D32" s="1">
        <v>-223.61742876086808</v>
      </c>
      <c r="E32" s="1">
        <v>-34.164778157357013</v>
      </c>
      <c r="F32" s="1">
        <v>156.22712781782869</v>
      </c>
      <c r="G32" s="1">
        <v>1061.2337475480565</v>
      </c>
      <c r="H32" s="1">
        <v>139.85495421841057</v>
      </c>
      <c r="I32" s="1">
        <v>-25.011863265466332</v>
      </c>
      <c r="J32" s="1">
        <v>-386.69855354880178</v>
      </c>
      <c r="K32" s="1">
        <v>-2299.2074908128589</v>
      </c>
      <c r="L32" s="1">
        <v>-2.2438541569209476</v>
      </c>
      <c r="M32" s="1">
        <v>-1250.8270496508062</v>
      </c>
      <c r="N32" s="1">
        <v>782.52660180646308</v>
      </c>
      <c r="O32" s="1">
        <v>-2260.1518689047971</v>
      </c>
      <c r="P32" s="1">
        <v>575.23417718706855</v>
      </c>
      <c r="Q32" s="1">
        <v>979.85925876847068</v>
      </c>
      <c r="R32" s="1">
        <v>-124.0545854122429</v>
      </c>
      <c r="S32" s="1">
        <v>2666.5385870422865</v>
      </c>
      <c r="T32" s="1">
        <v>1444.9129893017378</v>
      </c>
      <c r="U32" s="1">
        <v>5310.7084076310839</v>
      </c>
      <c r="V32" s="1">
        <v>118.88192318373005</v>
      </c>
      <c r="W32" s="1">
        <v>138.74298525245888</v>
      </c>
      <c r="X32" s="1">
        <v>367.59688166346382</v>
      </c>
      <c r="Y32" s="1">
        <v>-5821.1256467827807</v>
      </c>
      <c r="Z32" s="1">
        <v>-993.84979706166132</v>
      </c>
      <c r="AA32" s="1">
        <v>538.89756957449617</v>
      </c>
      <c r="AB32" s="1">
        <v>-695.86770426545752</v>
      </c>
      <c r="AC32" s="1">
        <v>222.59450504689715</v>
      </c>
      <c r="AD32" s="1">
        <v>629.27096093584044</v>
      </c>
      <c r="AE32" s="1">
        <v>950.16067381780215</v>
      </c>
      <c r="AF32" s="5">
        <v>4.9126368744709161</v>
      </c>
    </row>
    <row r="33" spans="1:32" x14ac:dyDescent="0.2">
      <c r="A33">
        <v>1999</v>
      </c>
      <c r="B33" s="1">
        <v>519.83214216722354</v>
      </c>
      <c r="C33" s="1">
        <v>-235.10275670298196</v>
      </c>
      <c r="D33" s="1">
        <v>-108.8559182937128</v>
      </c>
      <c r="E33" s="1">
        <v>-292.94757729440232</v>
      </c>
      <c r="F33" s="1">
        <v>64.201159785738824</v>
      </c>
      <c r="G33" s="1">
        <v>-852.8896923248825</v>
      </c>
      <c r="H33" s="1">
        <v>-1594.8859280088875</v>
      </c>
      <c r="I33" s="1">
        <v>104.83706555214647</v>
      </c>
      <c r="J33" s="1">
        <v>-2194.8664443190873</v>
      </c>
      <c r="K33" s="1">
        <v>-6454.3936322134923</v>
      </c>
      <c r="L33" s="1">
        <v>6998.1135409614644</v>
      </c>
      <c r="M33" s="1">
        <v>-1596.3544517567861</v>
      </c>
      <c r="N33" s="1">
        <v>-224.90697072004966</v>
      </c>
      <c r="O33" s="1">
        <v>-4554.3204950907557</v>
      </c>
      <c r="P33" s="1">
        <v>680.58671689625385</v>
      </c>
      <c r="Q33" s="1">
        <v>521.80776461309017</v>
      </c>
      <c r="R33" s="1">
        <v>177.22992404923485</v>
      </c>
      <c r="S33" s="1">
        <v>2139.8318044519128</v>
      </c>
      <c r="T33" s="1">
        <v>-1299.5881307111129</v>
      </c>
      <c r="U33" s="1">
        <v>-1846.3618879276933</v>
      </c>
      <c r="V33" s="1">
        <v>-37.171693388775466</v>
      </c>
      <c r="W33" s="1">
        <v>188.81370671846875</v>
      </c>
      <c r="X33" s="1">
        <v>38.15962531011558</v>
      </c>
      <c r="Y33" s="1">
        <v>7079.1021445868319</v>
      </c>
      <c r="Z33" s="1">
        <v>-669.33904098792482</v>
      </c>
      <c r="AA33" s="1">
        <v>616.71266448285564</v>
      </c>
      <c r="AB33" s="1">
        <v>1904.1433441020913</v>
      </c>
      <c r="AC33" s="1">
        <v>-643.12675991668948</v>
      </c>
      <c r="AD33" s="1">
        <v>98.459148299577222</v>
      </c>
      <c r="AE33" s="1">
        <v>463.99572063248223</v>
      </c>
      <c r="AF33" s="5">
        <v>-1.0092849070477432</v>
      </c>
    </row>
    <row r="34" spans="1:32" x14ac:dyDescent="0.2">
      <c r="A34">
        <v>2000</v>
      </c>
      <c r="B34" s="1">
        <v>-170.34959260025062</v>
      </c>
      <c r="C34" s="1">
        <v>-1370.7615986593214</v>
      </c>
      <c r="D34" s="1">
        <v>-134.41455818124436</v>
      </c>
      <c r="E34" s="1">
        <v>-274.45894133108965</v>
      </c>
      <c r="F34" s="1">
        <v>23.732420700868943</v>
      </c>
      <c r="G34" s="1">
        <v>25.018979192767638</v>
      </c>
      <c r="H34" s="1">
        <v>562.85378123669034</v>
      </c>
      <c r="I34" s="1">
        <v>309.06550416021042</v>
      </c>
      <c r="J34" s="1">
        <v>-2432.0612053688756</v>
      </c>
      <c r="K34" s="1">
        <v>-14027.534680301136</v>
      </c>
      <c r="L34" s="1">
        <v>270.00516820744809</v>
      </c>
      <c r="M34" s="1">
        <v>2640.3404845442137</v>
      </c>
      <c r="N34" s="1">
        <v>-256.08398341367564</v>
      </c>
      <c r="O34" s="1">
        <v>910.74049987765386</v>
      </c>
      <c r="P34" s="1">
        <v>-1072.311618302745</v>
      </c>
      <c r="Q34" s="1">
        <v>445.6554622829845</v>
      </c>
      <c r="R34" s="1">
        <v>-220.94487765731861</v>
      </c>
      <c r="S34" s="1">
        <v>-3201.9351240428432</v>
      </c>
      <c r="T34" s="1">
        <v>-1634.0495217999783</v>
      </c>
      <c r="U34" s="1">
        <v>4432.4030996947376</v>
      </c>
      <c r="V34" s="1">
        <v>183.43783893599655</v>
      </c>
      <c r="W34" s="1">
        <v>212.73592991162749</v>
      </c>
      <c r="X34" s="1">
        <v>-166.41986050543304</v>
      </c>
      <c r="Y34" s="1">
        <v>20347.262004902968</v>
      </c>
      <c r="Z34" s="1">
        <v>3597.43006931846</v>
      </c>
      <c r="AA34" s="1">
        <v>461.5659628821569</v>
      </c>
      <c r="AB34" s="1">
        <v>-911.41831498673707</v>
      </c>
      <c r="AC34" s="1">
        <v>970.56352734318978</v>
      </c>
      <c r="AD34" s="1">
        <v>-1149.3477612569218</v>
      </c>
      <c r="AE34" s="1">
        <v>-827.75726095614107</v>
      </c>
      <c r="AF34" s="5">
        <v>7.5429618338282634</v>
      </c>
    </row>
    <row r="35" spans="1:32" x14ac:dyDescent="0.2">
      <c r="A35">
        <v>2001</v>
      </c>
      <c r="B35" s="1">
        <v>2998.9470699898575</v>
      </c>
      <c r="C35" s="1">
        <v>-1291.2046719689206</v>
      </c>
      <c r="D35" s="1">
        <v>-1490.3159177486064</v>
      </c>
      <c r="E35" s="1">
        <v>-17.775098285296753</v>
      </c>
      <c r="F35" s="1">
        <v>-89.21461987181695</v>
      </c>
      <c r="G35" s="1">
        <v>160.03117032263776</v>
      </c>
      <c r="H35" s="1">
        <v>412.54319756089933</v>
      </c>
      <c r="I35" s="1">
        <v>1403.8039326082298</v>
      </c>
      <c r="J35" s="1">
        <v>-989.2013427580506</v>
      </c>
      <c r="K35" s="1">
        <v>-6701.6797685361271</v>
      </c>
      <c r="L35" s="1">
        <v>2621.5450316877791</v>
      </c>
      <c r="M35" s="1">
        <v>681.32279448116435</v>
      </c>
      <c r="N35" s="1">
        <v>175.62062203037618</v>
      </c>
      <c r="O35" s="1">
        <v>999.25938673869507</v>
      </c>
      <c r="P35" s="1">
        <v>-1154.1905069451016</v>
      </c>
      <c r="Q35" s="1">
        <v>910.30850313728661</v>
      </c>
      <c r="R35" s="1">
        <v>-396.36629445826821</v>
      </c>
      <c r="S35" s="1">
        <v>-2690.7256872026451</v>
      </c>
      <c r="T35" s="1">
        <v>447.9925291744828</v>
      </c>
      <c r="U35" s="1">
        <v>1690.0761582233322</v>
      </c>
      <c r="V35" s="1">
        <v>-64.107313236600049</v>
      </c>
      <c r="W35" s="1">
        <v>0.98955828940298562</v>
      </c>
      <c r="X35" s="1">
        <v>-417.64966392267428</v>
      </c>
      <c r="Y35" s="1">
        <v>936.51495485844612</v>
      </c>
      <c r="Z35" s="1">
        <v>-4.1871142718401675</v>
      </c>
      <c r="AA35" s="1">
        <v>-1130.5325273123754</v>
      </c>
      <c r="AB35" s="1">
        <v>2124.4510596998907</v>
      </c>
      <c r="AC35" s="1">
        <v>1010.8839191678688</v>
      </c>
      <c r="AD35" s="1">
        <v>727.9801580317876</v>
      </c>
      <c r="AE35" s="1">
        <v>612.97548665718887</v>
      </c>
      <c r="AF35" s="5">
        <v>1.478095006141003</v>
      </c>
    </row>
    <row r="36" spans="1:32" x14ac:dyDescent="0.2">
      <c r="A36">
        <v>2002</v>
      </c>
      <c r="B36" s="1">
        <v>2061.5187368074426</v>
      </c>
      <c r="C36" s="1">
        <v>519.70081886153764</v>
      </c>
      <c r="D36" s="1">
        <v>3454.8228219223224</v>
      </c>
      <c r="E36" s="1">
        <v>-83.906272264462132</v>
      </c>
      <c r="F36" s="1">
        <v>125.9718445076295</v>
      </c>
      <c r="G36" s="1">
        <v>-238.64378916629107</v>
      </c>
      <c r="H36" s="1">
        <v>5751.4846501784641</v>
      </c>
      <c r="I36" s="1">
        <v>-1364.562126036742</v>
      </c>
      <c r="J36" s="1">
        <v>-125.00506198412994</v>
      </c>
      <c r="K36" s="1">
        <v>-7077.67547073485</v>
      </c>
      <c r="L36" s="1">
        <v>3070.1144999384896</v>
      </c>
      <c r="M36" s="1">
        <v>855.9787920233191</v>
      </c>
      <c r="N36" s="1">
        <v>-50.77005806987826</v>
      </c>
      <c r="O36" s="1">
        <v>1958.4911084498785</v>
      </c>
      <c r="P36" s="1">
        <v>422.43843992429908</v>
      </c>
      <c r="Q36" s="1">
        <v>606.10219920740383</v>
      </c>
      <c r="R36" s="1">
        <v>384.30343343457855</v>
      </c>
      <c r="S36" s="1">
        <v>-3324.6401398126673</v>
      </c>
      <c r="T36" s="1">
        <v>2079.8509332753124</v>
      </c>
      <c r="U36" s="1">
        <v>-3029.7974135661734</v>
      </c>
      <c r="V36" s="1">
        <v>97.145914530854952</v>
      </c>
      <c r="W36" s="1">
        <v>545.66855562214653</v>
      </c>
      <c r="X36" s="1">
        <v>442.24429354736958</v>
      </c>
      <c r="Y36" s="1">
        <v>19633.184965404766</v>
      </c>
      <c r="Z36" s="1">
        <v>2606.9872864896065</v>
      </c>
      <c r="AA36" s="1">
        <v>408.41498345017339</v>
      </c>
      <c r="AB36" s="1">
        <v>2592.6455551507961</v>
      </c>
      <c r="AC36" s="1">
        <v>1472.693124110441</v>
      </c>
      <c r="AD36" s="1">
        <v>-177.74562870039702</v>
      </c>
      <c r="AE36" s="1">
        <v>-633.09454441519506</v>
      </c>
      <c r="AF36" s="5">
        <v>32.983922452086048</v>
      </c>
    </row>
    <row r="37" spans="1:32" x14ac:dyDescent="0.2">
      <c r="A37">
        <v>2003</v>
      </c>
      <c r="B37" s="1">
        <v>4541.4550283213575</v>
      </c>
      <c r="C37" s="1">
        <v>1076.4350175934776</v>
      </c>
      <c r="D37" s="1">
        <v>2698.8166765741303</v>
      </c>
      <c r="E37" s="1">
        <v>576.273157156867</v>
      </c>
      <c r="F37" s="1">
        <v>145.05069147325582</v>
      </c>
      <c r="G37" s="1">
        <v>374.11712243342294</v>
      </c>
      <c r="H37" s="1">
        <v>2677.683247289157</v>
      </c>
      <c r="I37" s="1">
        <v>1336.8049475337973</v>
      </c>
      <c r="J37" s="1">
        <v>1959.6002450111237</v>
      </c>
      <c r="K37" s="1">
        <v>-15095.60336477419</v>
      </c>
      <c r="L37" s="1">
        <v>2716.6252250542998</v>
      </c>
      <c r="M37" s="1">
        <v>1061.7892411210071</v>
      </c>
      <c r="N37" s="1">
        <v>-860.98243838613746</v>
      </c>
      <c r="O37" s="1">
        <v>2490.2968411307688</v>
      </c>
      <c r="P37" s="1">
        <v>143.40511776203044</v>
      </c>
      <c r="Q37" s="1">
        <v>678.35059077836388</v>
      </c>
      <c r="R37" s="1">
        <v>92.456290913191012</v>
      </c>
      <c r="S37" s="1">
        <v>-1099.4259118309249</v>
      </c>
      <c r="T37" s="1">
        <v>166.91474848200801</v>
      </c>
      <c r="U37" s="1">
        <v>10025.781976312595</v>
      </c>
      <c r="V37" s="1">
        <v>383.83620294018897</v>
      </c>
      <c r="W37" s="1">
        <v>125.8595455016457</v>
      </c>
      <c r="X37" s="1">
        <v>795.16827687922068</v>
      </c>
      <c r="Y37" s="1">
        <v>4222.6769816639217</v>
      </c>
      <c r="Z37" s="1">
        <v>1751.6823604221661</v>
      </c>
      <c r="AA37" s="1">
        <v>-107.88262736817788</v>
      </c>
      <c r="AB37" s="1">
        <v>2683.6367794594266</v>
      </c>
      <c r="AC37" s="1">
        <v>1889.0646201970605</v>
      </c>
      <c r="AD37" s="1">
        <v>368.42823053463877</v>
      </c>
      <c r="AE37" s="1">
        <v>-2594.1843992534141</v>
      </c>
      <c r="AF37" s="5">
        <v>25.224130420926276</v>
      </c>
    </row>
    <row r="38" spans="1:32" x14ac:dyDescent="0.2">
      <c r="A38">
        <v>2004</v>
      </c>
      <c r="B38" s="1">
        <v>890.29223662186678</v>
      </c>
      <c r="C38" s="1">
        <v>420.93959944709962</v>
      </c>
      <c r="D38" s="1">
        <v>37.222474838943022</v>
      </c>
      <c r="E38" s="1">
        <v>-433.8726560839134</v>
      </c>
      <c r="F38" s="1">
        <v>-55.309134002313805</v>
      </c>
      <c r="G38" s="1">
        <v>1541.8485550884184</v>
      </c>
      <c r="H38" s="1">
        <v>1922.7410219367885</v>
      </c>
      <c r="I38" s="1">
        <v>4540.2790827021945</v>
      </c>
      <c r="J38" s="1">
        <v>1411.3467929307717</v>
      </c>
      <c r="K38" s="1">
        <v>-13215.266219074916</v>
      </c>
      <c r="L38" s="1">
        <v>4477.4040176459366</v>
      </c>
      <c r="M38" s="1">
        <v>3466.0637037952138</v>
      </c>
      <c r="N38" s="1">
        <v>2811.8420417540347</v>
      </c>
      <c r="O38" s="1">
        <v>-4654.2286972201664</v>
      </c>
      <c r="P38" s="1">
        <v>927.3020986688764</v>
      </c>
      <c r="Q38" s="1">
        <v>414.48956525957209</v>
      </c>
      <c r="R38" s="1">
        <v>1044.7670187233232</v>
      </c>
      <c r="S38" s="1">
        <v>-2438.8610495666835</v>
      </c>
      <c r="T38" s="1">
        <v>187.95148402847317</v>
      </c>
      <c r="U38" s="1">
        <v>15726.240538686727</v>
      </c>
      <c r="V38" s="1">
        <v>471.71924367660353</v>
      </c>
      <c r="W38" s="1">
        <v>642.75530397241516</v>
      </c>
      <c r="X38" s="1">
        <v>1344.3247555858031</v>
      </c>
      <c r="Y38" s="1">
        <v>-1172.8846559084134</v>
      </c>
      <c r="Z38" s="1">
        <v>9060.8008293377261</v>
      </c>
      <c r="AA38" s="1">
        <v>612.67892521129352</v>
      </c>
      <c r="AB38" s="1">
        <v>1685.4978855266015</v>
      </c>
      <c r="AC38" s="1">
        <v>1798.4247228334834</v>
      </c>
      <c r="AD38" s="1">
        <v>909.79979262719553</v>
      </c>
      <c r="AE38" s="1">
        <v>-298.82368109390416</v>
      </c>
      <c r="AF38" s="5">
        <v>34.077485597949043</v>
      </c>
    </row>
    <row r="39" spans="1:32" x14ac:dyDescent="0.2">
      <c r="A39">
        <v>2005</v>
      </c>
      <c r="B39" s="1">
        <v>-8823.8158574897498</v>
      </c>
      <c r="C39" s="1">
        <v>4860.7894236522607</v>
      </c>
      <c r="D39" s="1">
        <v>-1785.86643759393</v>
      </c>
      <c r="E39" s="1">
        <v>-378.85440711174471</v>
      </c>
      <c r="F39" s="1">
        <v>101.17482520496245</v>
      </c>
      <c r="G39" s="1">
        <v>-2023.5642262677534</v>
      </c>
      <c r="H39" s="1">
        <v>1763.1375831640919</v>
      </c>
      <c r="I39" s="1">
        <v>1541.2264401520454</v>
      </c>
      <c r="J39" s="1">
        <v>1675.0427101225212</v>
      </c>
      <c r="K39" s="1">
        <v>-4883.5990913361038</v>
      </c>
      <c r="L39" s="1">
        <v>1730.6185300312209</v>
      </c>
      <c r="M39" s="1">
        <v>-1091.7280597395386</v>
      </c>
      <c r="N39" s="1">
        <v>1436.4150571110845</v>
      </c>
      <c r="O39" s="1">
        <v>1523.8243719477293</v>
      </c>
      <c r="P39" s="1">
        <v>-817.5916824637801</v>
      </c>
      <c r="Q39" s="1">
        <v>313.00606829351915</v>
      </c>
      <c r="R39" s="1">
        <v>589.08222655734301</v>
      </c>
      <c r="S39" s="1">
        <v>-1660.0214486433733</v>
      </c>
      <c r="T39" s="1">
        <v>-226.30672577050532</v>
      </c>
      <c r="U39" s="1">
        <v>58297.353922979317</v>
      </c>
      <c r="V39" s="1">
        <v>-253.66288783999462</v>
      </c>
      <c r="W39" s="1">
        <v>1734.3855531621018</v>
      </c>
      <c r="X39" s="1">
        <v>1463.3708720697921</v>
      </c>
      <c r="Y39" s="1">
        <v>4848.6568145237679</v>
      </c>
      <c r="Z39" s="1">
        <v>9246.8696624833738</v>
      </c>
      <c r="AA39" s="1">
        <v>925.48399250421357</v>
      </c>
      <c r="AB39" s="1">
        <v>-1766.5822679846258</v>
      </c>
      <c r="AC39" s="1">
        <v>1288.696237673963</v>
      </c>
      <c r="AD39" s="1">
        <v>-487.63129342864175</v>
      </c>
      <c r="AE39" s="1">
        <v>-247.37900440826502</v>
      </c>
      <c r="AF39" s="5">
        <v>68.892530901555304</v>
      </c>
    </row>
    <row r="40" spans="1:32" x14ac:dyDescent="0.2">
      <c r="A40">
        <v>2006</v>
      </c>
      <c r="B40" s="1">
        <v>-10693.030211294867</v>
      </c>
      <c r="C40" s="1">
        <v>-2672.1650224136033</v>
      </c>
      <c r="D40" s="1">
        <v>-698.59517234113514</v>
      </c>
      <c r="E40" s="1">
        <v>-253.08092478548599</v>
      </c>
      <c r="F40" s="1">
        <v>313.35236729611313</v>
      </c>
      <c r="G40" s="1">
        <v>3802.4408957337423</v>
      </c>
      <c r="H40" s="1">
        <v>1109.1936460107061</v>
      </c>
      <c r="I40" s="1">
        <v>5445.101138905613</v>
      </c>
      <c r="J40" s="1">
        <v>1067.5154180558911</v>
      </c>
      <c r="K40" s="1">
        <v>-14157.489877439497</v>
      </c>
      <c r="L40" s="1">
        <v>6595.7702486468179</v>
      </c>
      <c r="M40" s="1">
        <v>-7334.5950054912155</v>
      </c>
      <c r="N40" s="1">
        <v>9982.0837981377117</v>
      </c>
      <c r="O40" s="1">
        <v>1028.6315250572707</v>
      </c>
      <c r="P40" s="1">
        <v>-780.92495144240866</v>
      </c>
      <c r="Q40" s="1">
        <v>444.10818508799377</v>
      </c>
      <c r="R40" s="1">
        <v>1756.1248435543303</v>
      </c>
      <c r="S40" s="1">
        <v>336.05791165665863</v>
      </c>
      <c r="T40" s="1">
        <v>-1600.6304064449764</v>
      </c>
      <c r="U40" s="1">
        <v>47011.865334588576</v>
      </c>
      <c r="V40" s="1">
        <v>3016.8348887755401</v>
      </c>
      <c r="W40" s="1">
        <v>1726.9169573184602</v>
      </c>
      <c r="X40" s="1">
        <v>588.43904910706476</v>
      </c>
      <c r="Y40" s="1">
        <v>27252.097039195654</v>
      </c>
      <c r="Z40" s="1">
        <v>1873.9788809149948</v>
      </c>
      <c r="AA40" s="1">
        <v>-7132.5802894717126</v>
      </c>
      <c r="AB40" s="1">
        <v>-878.23379750491438</v>
      </c>
      <c r="AC40" s="1">
        <v>1524.2933303799198</v>
      </c>
      <c r="AD40" s="1">
        <v>-805.69892226892534</v>
      </c>
      <c r="AE40" s="1">
        <v>1697.3309621166168</v>
      </c>
      <c r="AF40" s="5">
        <v>69.56511183964092</v>
      </c>
    </row>
    <row r="41" spans="1:32" x14ac:dyDescent="0.2">
      <c r="A41">
        <v>2007</v>
      </c>
      <c r="B41" s="1">
        <v>2087.2966394706468</v>
      </c>
      <c r="C41" s="1">
        <v>5112.5569033696902</v>
      </c>
      <c r="D41" s="1">
        <v>-55.065222916741043</v>
      </c>
      <c r="E41" s="1">
        <v>283.84921406729654</v>
      </c>
      <c r="F41" s="1">
        <v>19.852320318202857</v>
      </c>
      <c r="G41" s="1">
        <v>2487.5028244285886</v>
      </c>
      <c r="H41" s="1">
        <v>375.69866087372094</v>
      </c>
      <c r="I41" s="1">
        <v>3598.7594153787104</v>
      </c>
      <c r="J41" s="1">
        <v>197.93060806125141</v>
      </c>
      <c r="K41" s="1">
        <v>-10726.643369366018</v>
      </c>
      <c r="L41" s="1">
        <v>2464.0904147527508</v>
      </c>
      <c r="M41" s="1">
        <v>-2635.4647975629446</v>
      </c>
      <c r="N41" s="1">
        <v>4579.4498048064479</v>
      </c>
      <c r="O41" s="1">
        <v>1921.5116389414864</v>
      </c>
      <c r="P41" s="1">
        <v>572.53131863071201</v>
      </c>
      <c r="Q41" s="1">
        <v>157.0237035009996</v>
      </c>
      <c r="R41" s="1">
        <v>207.25090276860891</v>
      </c>
      <c r="S41" s="1">
        <v>2763.8423092622361</v>
      </c>
      <c r="T41" s="1">
        <v>1275.5746694806749</v>
      </c>
      <c r="U41" s="1">
        <v>50466.864278045097</v>
      </c>
      <c r="V41" s="1">
        <v>-86.794273323922823</v>
      </c>
      <c r="W41" s="1">
        <v>1585.0924182000861</v>
      </c>
      <c r="X41" s="1">
        <v>1406.3919255682545</v>
      </c>
      <c r="Y41" s="1">
        <v>48212.588549132626</v>
      </c>
      <c r="Z41" s="1">
        <v>821.40014716770463</v>
      </c>
      <c r="AA41" s="1">
        <v>103.91083978109188</v>
      </c>
      <c r="AB41" s="1">
        <v>919.43957502831131</v>
      </c>
      <c r="AC41" s="1">
        <v>1896.3314463318361</v>
      </c>
      <c r="AD41" s="1">
        <v>-61.659483916258466</v>
      </c>
      <c r="AE41" s="1">
        <v>-315.96171651867428</v>
      </c>
      <c r="AF41" s="5">
        <v>119.63515166376249</v>
      </c>
    </row>
    <row r="42" spans="1:32" x14ac:dyDescent="0.2">
      <c r="A42">
        <v>2008</v>
      </c>
      <c r="B42" s="1">
        <v>5931.4331858537316</v>
      </c>
      <c r="C42" s="1">
        <v>6635.8771888196452</v>
      </c>
      <c r="D42" s="1">
        <v>-765.08536346752385</v>
      </c>
      <c r="E42" s="1">
        <v>968.62583880725469</v>
      </c>
      <c r="F42" s="1">
        <v>-39.325118656137164</v>
      </c>
      <c r="G42" s="1">
        <v>7418.6541047109085</v>
      </c>
      <c r="H42" s="1">
        <v>2647.4381816903783</v>
      </c>
      <c r="I42" s="1">
        <v>6611.2496028306905</v>
      </c>
      <c r="J42" s="1">
        <v>-1884.5350389665318</v>
      </c>
      <c r="K42" s="1">
        <v>-1837.6695537783694</v>
      </c>
      <c r="L42" s="1">
        <v>488.84575543364701</v>
      </c>
      <c r="M42" s="1">
        <v>-8832.6692816716859</v>
      </c>
      <c r="N42" s="1">
        <v>5394.4244821600723</v>
      </c>
      <c r="O42" s="1">
        <v>158.39007801481296</v>
      </c>
      <c r="P42" s="1">
        <v>-691.18797194855983</v>
      </c>
      <c r="Q42" s="1">
        <v>778.48259991243071</v>
      </c>
      <c r="R42" s="1">
        <v>-557.68807227884759</v>
      </c>
      <c r="S42" s="1">
        <v>3872.2624896623947</v>
      </c>
      <c r="T42" s="1">
        <v>484.03712296771101</v>
      </c>
      <c r="U42" s="1">
        <v>-5598.0985966782291</v>
      </c>
      <c r="V42" s="1">
        <v>62.381619602779146</v>
      </c>
      <c r="W42" s="1">
        <v>1320.4906986374447</v>
      </c>
      <c r="X42" s="1">
        <v>736.11915888263911</v>
      </c>
      <c r="Y42" s="1">
        <v>14545.156310760525</v>
      </c>
      <c r="Z42" s="1">
        <v>-5155.2855419005609</v>
      </c>
      <c r="AA42" s="1">
        <v>1319.4782775678357</v>
      </c>
      <c r="AB42" s="1">
        <v>-209.47084209406191</v>
      </c>
      <c r="AC42" s="1">
        <v>2648.0638600071825</v>
      </c>
      <c r="AD42" s="1">
        <v>624.30386730348744</v>
      </c>
      <c r="AE42" s="1">
        <v>326.07247803017287</v>
      </c>
      <c r="AF42" s="5">
        <v>37.400771520215244</v>
      </c>
    </row>
    <row r="43" spans="1:32" x14ac:dyDescent="0.2">
      <c r="A43">
        <v>2009</v>
      </c>
      <c r="B43" s="1">
        <v>7683.7395484612143</v>
      </c>
      <c r="C43" s="1">
        <v>6053.9339404833627</v>
      </c>
      <c r="D43" s="1">
        <v>3082.5276098381478</v>
      </c>
      <c r="E43" s="1">
        <v>804.25447671597124</v>
      </c>
      <c r="F43" s="1">
        <v>87.095397529713892</v>
      </c>
      <c r="G43" s="1">
        <v>3729.7293640008274</v>
      </c>
      <c r="H43" s="1">
        <v>-4145.8599224835425</v>
      </c>
      <c r="I43" s="1">
        <v>3008.2340352971864</v>
      </c>
      <c r="J43" s="1">
        <v>2893.9086661133902</v>
      </c>
      <c r="K43" s="1">
        <v>-6978.5311655902387</v>
      </c>
      <c r="L43" s="1">
        <v>6223.7817766517592</v>
      </c>
      <c r="M43" s="1">
        <v>-3850.7575868359963</v>
      </c>
      <c r="N43" s="1">
        <v>4446.4492734709784</v>
      </c>
      <c r="O43" s="1">
        <v>1908.7919138314082</v>
      </c>
      <c r="P43" s="1">
        <v>-669.65086483367952</v>
      </c>
      <c r="Q43" s="1">
        <v>485.99158945963592</v>
      </c>
      <c r="R43" s="1">
        <v>-972.15242320227333</v>
      </c>
      <c r="S43" s="1">
        <v>7624.4444811258945</v>
      </c>
      <c r="T43" s="1">
        <v>1496.1540130540911</v>
      </c>
      <c r="U43" s="1">
        <v>31787.246030743849</v>
      </c>
      <c r="V43" s="1">
        <v>127.18266467766324</v>
      </c>
      <c r="W43" s="1">
        <v>1788.5052015856936</v>
      </c>
      <c r="X43" s="1">
        <v>928.39750785200101</v>
      </c>
      <c r="Y43" s="1">
        <v>45432.672602274004</v>
      </c>
      <c r="Z43" s="1">
        <v>-2365.7223217204369</v>
      </c>
      <c r="AA43" s="1">
        <v>1616.1732999422811</v>
      </c>
      <c r="AB43" s="1">
        <v>1423.2918455915426</v>
      </c>
      <c r="AC43" s="1">
        <v>2869.9792322464218</v>
      </c>
      <c r="AD43" s="1">
        <v>778.42066214271085</v>
      </c>
      <c r="AE43" s="1">
        <v>-327.46822176917925</v>
      </c>
      <c r="AF43" s="5">
        <v>116.97076262665442</v>
      </c>
    </row>
    <row r="44" spans="1:32" x14ac:dyDescent="0.2">
      <c r="A44">
        <v>2010</v>
      </c>
      <c r="B44" s="1">
        <v>4058.2529393798663</v>
      </c>
      <c r="C44" s="1">
        <v>9159.7801507309705</v>
      </c>
      <c r="D44" s="1">
        <v>206.21637583654834</v>
      </c>
      <c r="E44" s="1">
        <v>337.99245824465163</v>
      </c>
      <c r="F44" s="1">
        <v>-18.234070493316022</v>
      </c>
      <c r="G44" s="1">
        <v>471.61134614198005</v>
      </c>
      <c r="H44" s="1">
        <v>-7105.8849191135832</v>
      </c>
      <c r="I44" s="1">
        <v>10181.02840619497</v>
      </c>
      <c r="J44" s="1">
        <v>-4317.8222370818994</v>
      </c>
      <c r="K44" s="1">
        <v>-2984.5454760875809</v>
      </c>
      <c r="L44" s="1">
        <v>6001.904095641994</v>
      </c>
      <c r="M44" s="1">
        <v>-5732.1765513077999</v>
      </c>
      <c r="N44" s="1">
        <v>13106.682809819402</v>
      </c>
      <c r="O44" s="1">
        <v>1238.2622547210001</v>
      </c>
      <c r="P44" s="1">
        <v>665.81182508439872</v>
      </c>
      <c r="Q44" s="1">
        <v>-219.82128896696278</v>
      </c>
      <c r="R44" s="1">
        <v>-116.1559200243513</v>
      </c>
      <c r="S44" s="1">
        <v>4657.9759186204901</v>
      </c>
      <c r="T44" s="1">
        <v>4947.2636272127056</v>
      </c>
      <c r="U44" s="1">
        <v>7482.2902503294099</v>
      </c>
      <c r="V44" s="1">
        <v>325.64480975968667</v>
      </c>
      <c r="W44" s="1">
        <v>1585.9252211067565</v>
      </c>
      <c r="X44" s="1">
        <v>374.42087858579123</v>
      </c>
      <c r="Y44" s="1">
        <v>43436.476054086816</v>
      </c>
      <c r="Z44" s="1">
        <v>-3151.2008919376508</v>
      </c>
      <c r="AA44" s="1">
        <v>2932.4439866997113</v>
      </c>
      <c r="AB44" s="1">
        <v>-1494.1434423421872</v>
      </c>
      <c r="AC44" s="1">
        <v>1732.9107883768083</v>
      </c>
      <c r="AD44" s="1">
        <v>309.69620733622338</v>
      </c>
      <c r="AE44" s="1">
        <v>-2059.9206143859064</v>
      </c>
      <c r="AF44" s="5">
        <v>86.012684992168943</v>
      </c>
    </row>
    <row r="45" spans="1:32" x14ac:dyDescent="0.2">
      <c r="A45">
        <v>2011</v>
      </c>
      <c r="B45" s="1">
        <v>1261.473876831026</v>
      </c>
      <c r="C45" s="1">
        <v>10687.747605285682</v>
      </c>
      <c r="D45" s="1">
        <v>367.00851462327233</v>
      </c>
      <c r="E45" s="1">
        <v>-770.29794445209268</v>
      </c>
      <c r="F45" s="1">
        <v>243.31904317578852</v>
      </c>
      <c r="G45" s="1">
        <v>1532.2622027184482</v>
      </c>
      <c r="H45" s="1">
        <v>-3698.0573452875556</v>
      </c>
      <c r="I45" s="1">
        <v>-2226.0435612879014</v>
      </c>
      <c r="J45" s="1">
        <v>289.40527458377858</v>
      </c>
      <c r="K45" s="1">
        <v>8846.4400988360012</v>
      </c>
      <c r="L45" s="1">
        <v>3137.7550616318704</v>
      </c>
      <c r="M45" s="1">
        <v>9809.6748608562848</v>
      </c>
      <c r="N45" s="1">
        <v>-464.23500977369673</v>
      </c>
      <c r="O45" s="1">
        <v>3951.3640098795868</v>
      </c>
      <c r="P45" s="1">
        <v>-1072.2744855201624</v>
      </c>
      <c r="Q45" s="1">
        <v>935.47084654858566</v>
      </c>
      <c r="R45" s="1">
        <v>-1444.0533378095802</v>
      </c>
      <c r="S45" s="1">
        <v>3884.1646296719882</v>
      </c>
      <c r="T45" s="1">
        <v>2143.0515651350811</v>
      </c>
      <c r="U45" s="1">
        <v>-10320.336314547125</v>
      </c>
      <c r="V45" s="1">
        <v>-124.09032251867627</v>
      </c>
      <c r="W45" s="1">
        <v>2301.3235625754828</v>
      </c>
      <c r="X45" s="1">
        <v>74.827368500411666</v>
      </c>
      <c r="Y45" s="1">
        <v>7842.1322934663522</v>
      </c>
      <c r="Z45" s="1">
        <v>-458.81066833684139</v>
      </c>
      <c r="AA45" s="1">
        <v>1647.7900619060897</v>
      </c>
      <c r="AB45" s="1">
        <v>-2153.0064661924353</v>
      </c>
      <c r="AC45" s="1">
        <v>1755.2022496981397</v>
      </c>
      <c r="AD45" s="1">
        <v>1445.4505860515899</v>
      </c>
      <c r="AE45" s="1">
        <v>-2245.1236162344667</v>
      </c>
      <c r="AF45" s="5">
        <v>37.179534640014928</v>
      </c>
    </row>
    <row r="46" spans="1:32" x14ac:dyDescent="0.2">
      <c r="A46">
        <v>2012</v>
      </c>
      <c r="B46" s="1">
        <v>1898.6551879012673</v>
      </c>
      <c r="C46" s="1">
        <v>14476.289616394666</v>
      </c>
      <c r="D46" s="1">
        <v>359.72289501801777</v>
      </c>
      <c r="E46" s="1">
        <v>2614.5525502710675</v>
      </c>
      <c r="F46" s="1">
        <v>79.047979419963852</v>
      </c>
      <c r="G46" s="1">
        <v>2136.9706683340046</v>
      </c>
      <c r="H46" s="1">
        <v>10777.95172723215</v>
      </c>
      <c r="I46" s="1">
        <v>4768.7339677</v>
      </c>
      <c r="J46" s="1">
        <v>-1940.185690918476</v>
      </c>
      <c r="K46" s="1">
        <v>20661.281444139029</v>
      </c>
      <c r="L46" s="1">
        <v>-4793.0892569327207</v>
      </c>
      <c r="M46" s="1">
        <v>8788.7182078202877</v>
      </c>
      <c r="N46" s="1">
        <v>-3723.4783698359802</v>
      </c>
      <c r="O46" s="1">
        <v>3518.3284725582162</v>
      </c>
      <c r="P46" s="1">
        <v>-1668.8554646991859</v>
      </c>
      <c r="Q46" s="1">
        <v>345.65800399285393</v>
      </c>
      <c r="R46" s="1">
        <v>-330.47698985427337</v>
      </c>
      <c r="S46" s="1">
        <v>5114.9545245173513</v>
      </c>
      <c r="T46" s="1">
        <v>7227.7227367428222</v>
      </c>
      <c r="U46" s="1">
        <v>-5770.6832145533435</v>
      </c>
      <c r="V46" s="1">
        <v>369.21852856790758</v>
      </c>
      <c r="W46" s="1">
        <v>878.3787676755519</v>
      </c>
      <c r="X46" s="1">
        <v>2214.6701295791695</v>
      </c>
      <c r="Y46" s="1">
        <v>35711.084978709288</v>
      </c>
      <c r="Z46" s="1">
        <v>13583.251540297297</v>
      </c>
      <c r="AA46" s="1">
        <v>7133.0178457322172</v>
      </c>
      <c r="AB46" s="1">
        <v>1020.4382290810017</v>
      </c>
      <c r="AC46" s="1">
        <v>1232.7365704916649</v>
      </c>
      <c r="AD46" s="1">
        <v>2799.8583943151548</v>
      </c>
      <c r="AE46" s="1">
        <v>-1275.4131914514373</v>
      </c>
      <c r="AF46" s="5">
        <v>128.20906078824552</v>
      </c>
    </row>
    <row r="47" spans="1:32" x14ac:dyDescent="0.2">
      <c r="A47">
        <v>2013</v>
      </c>
      <c r="B47" s="1">
        <v>-1690.0858618921282</v>
      </c>
      <c r="C47" s="1">
        <v>14342.378136227693</v>
      </c>
      <c r="D47" s="1">
        <v>-969.21256451038141</v>
      </c>
      <c r="E47" s="1">
        <v>3301.9291765726839</v>
      </c>
      <c r="F47" s="1">
        <v>191.91966627203814</v>
      </c>
      <c r="G47" s="1">
        <v>1693.476909655596</v>
      </c>
      <c r="H47" s="1">
        <v>7973.0662102765727</v>
      </c>
      <c r="I47" s="1">
        <v>2739.7808015281084</v>
      </c>
      <c r="J47" s="1">
        <v>-1131.7696484834426</v>
      </c>
      <c r="K47" s="1">
        <v>19103.36220610169</v>
      </c>
      <c r="L47" s="1">
        <v>3019.4346312752641</v>
      </c>
      <c r="M47" s="1">
        <v>7806.0716059048382</v>
      </c>
      <c r="N47" s="1">
        <v>7373.3197265792005</v>
      </c>
      <c r="O47" s="1">
        <v>2475.1676003300777</v>
      </c>
      <c r="P47" s="1">
        <v>-2429.0946709042978</v>
      </c>
      <c r="Q47" s="1">
        <v>1028.3141214763459</v>
      </c>
      <c r="R47" s="1">
        <v>133.52777059377712</v>
      </c>
      <c r="S47" s="1">
        <v>6326.2706974440816</v>
      </c>
      <c r="T47" s="1">
        <v>9923.7182404442738</v>
      </c>
      <c r="U47" s="1">
        <v>35403.960393476344</v>
      </c>
      <c r="V47" s="1">
        <v>741.27493649967494</v>
      </c>
      <c r="W47" s="1">
        <v>456.08207009816869</v>
      </c>
      <c r="X47" s="1">
        <v>10257.648788429424</v>
      </c>
      <c r="Y47" s="1">
        <v>-23795.750901372576</v>
      </c>
      <c r="Z47" s="1">
        <v>2990.7049854996217</v>
      </c>
      <c r="AA47" s="1">
        <v>7918.9495005101053</v>
      </c>
      <c r="AB47" s="1">
        <v>-1333.6678499621012</v>
      </c>
      <c r="AC47" s="1">
        <v>6284.3587189541695</v>
      </c>
      <c r="AD47" s="1">
        <v>405.78240902648452</v>
      </c>
      <c r="AE47" s="1">
        <v>-3107.4986387291979</v>
      </c>
      <c r="AF47" s="5">
        <v>117.4334191673221</v>
      </c>
    </row>
    <row r="48" spans="1:32" x14ac:dyDescent="0.2">
      <c r="A48">
        <v>2014</v>
      </c>
      <c r="B48" s="1">
        <v>287.27786207563037</v>
      </c>
      <c r="C48" s="1">
        <v>8287.1237693341427</v>
      </c>
      <c r="D48" s="1">
        <v>8.4557064329363385</v>
      </c>
      <c r="E48" s="1">
        <v>2304.3560049469611</v>
      </c>
      <c r="F48" s="1">
        <v>-238.05436428469116</v>
      </c>
      <c r="G48" s="1">
        <v>1745.3424891575874</v>
      </c>
      <c r="H48" s="1">
        <v>-1225.0063801696563</v>
      </c>
      <c r="I48" s="1">
        <v>11159.842218946771</v>
      </c>
      <c r="J48" s="1">
        <v>-554.80324136882314</v>
      </c>
      <c r="K48" s="1">
        <v>-4992.9695747246142</v>
      </c>
      <c r="L48" s="1">
        <v>4371.1841349949773</v>
      </c>
      <c r="M48" s="1">
        <v>5853.7545897947657</v>
      </c>
      <c r="N48" s="1">
        <v>956.03961384473234</v>
      </c>
      <c r="O48" s="1">
        <v>4910.246306599206</v>
      </c>
      <c r="P48" s="1">
        <v>-934.1628180082181</v>
      </c>
      <c r="Q48" s="1">
        <v>957.01544750791879</v>
      </c>
      <c r="R48" s="1">
        <v>2036.6090795590289</v>
      </c>
      <c r="S48" s="1">
        <v>4970.0384829616778</v>
      </c>
      <c r="T48" s="1">
        <v>4444.1930019753672</v>
      </c>
      <c r="U48" s="1">
        <v>28265.417842570409</v>
      </c>
      <c r="V48" s="1">
        <v>461.07214697443305</v>
      </c>
      <c r="W48" s="1">
        <v>514.12241470087883</v>
      </c>
      <c r="X48" s="1">
        <v>10688.851099617988</v>
      </c>
      <c r="Y48" s="1">
        <v>19897.771960409547</v>
      </c>
      <c r="Z48" s="1">
        <v>3.6402070047820985</v>
      </c>
      <c r="AA48" s="1">
        <v>4831.1459080374143</v>
      </c>
      <c r="AB48" s="1">
        <v>-68.481315070593027</v>
      </c>
      <c r="AC48" s="1">
        <v>1099.1639066584671</v>
      </c>
      <c r="AD48" s="1">
        <v>4604.8403875357271</v>
      </c>
      <c r="AE48" s="1">
        <v>-897.91597384432771</v>
      </c>
      <c r="AF48" s="5">
        <v>113.7461109141704</v>
      </c>
    </row>
    <row r="49" spans="1:32" x14ac:dyDescent="0.2">
      <c r="A49">
        <v>2015</v>
      </c>
      <c r="B49" s="1">
        <v>2881.5946616632996</v>
      </c>
      <c r="C49" s="1">
        <v>5191.8452160823226</v>
      </c>
      <c r="D49" s="1">
        <v>-972.37345589396762</v>
      </c>
      <c r="E49" s="1">
        <v>3335.8522542463265</v>
      </c>
      <c r="F49" s="1">
        <v>124.9537644071206</v>
      </c>
      <c r="G49" s="1">
        <v>1947.2601474518874</v>
      </c>
      <c r="H49" s="1">
        <v>-649.04990956954327</v>
      </c>
      <c r="I49" s="1">
        <v>7531.6899184654567</v>
      </c>
      <c r="J49" s="1">
        <v>1751.5163323804406</v>
      </c>
      <c r="K49" s="1">
        <v>21429.646017148843</v>
      </c>
      <c r="L49" s="1">
        <v>8855.9589919160735</v>
      </c>
      <c r="M49" s="1">
        <v>4076.7181073161973</v>
      </c>
      <c r="N49" s="1">
        <v>820.29350204451816</v>
      </c>
      <c r="O49" s="1">
        <v>3939.2511844978253</v>
      </c>
      <c r="P49" s="1">
        <v>-433.59266282841321</v>
      </c>
      <c r="Q49" s="1">
        <v>1070.0826195530415</v>
      </c>
      <c r="R49" s="1">
        <v>3389.3178121150859</v>
      </c>
      <c r="S49" s="1">
        <v>4449.595657153669</v>
      </c>
      <c r="T49" s="1">
        <v>5827.9971493532175</v>
      </c>
      <c r="U49" s="1">
        <v>-17790.569218097269</v>
      </c>
      <c r="V49" s="1">
        <v>196.46125550669811</v>
      </c>
      <c r="W49" s="1">
        <v>-17.362976284704374</v>
      </c>
      <c r="X49" s="1">
        <v>891.96451741499277</v>
      </c>
      <c r="Y49" s="1">
        <v>-17618.096070462208</v>
      </c>
      <c r="Z49" s="1">
        <v>5158.8842463106312</v>
      </c>
      <c r="AA49" s="1">
        <v>5295.9205239839894</v>
      </c>
      <c r="AB49" s="1">
        <v>219.77044208088245</v>
      </c>
      <c r="AC49" s="1">
        <v>2199.449876190964</v>
      </c>
      <c r="AD49" s="1">
        <v>4508.2629363238266</v>
      </c>
      <c r="AE49" s="1">
        <v>915.550202418607</v>
      </c>
      <c r="AF49" s="5">
        <v>58.528793042889816</v>
      </c>
    </row>
    <row r="50" spans="1:32" x14ac:dyDescent="0.2">
      <c r="A50">
        <v>2016</v>
      </c>
      <c r="B50" s="1">
        <v>980.94189969208162</v>
      </c>
      <c r="C50" s="1">
        <v>12734.786647810208</v>
      </c>
      <c r="D50" s="1">
        <v>522.04139575356351</v>
      </c>
      <c r="E50" s="1">
        <v>-2404.6848463861106</v>
      </c>
      <c r="F50" s="1">
        <v>-182.69317224771169</v>
      </c>
      <c r="G50" s="1">
        <v>2324.7113267091254</v>
      </c>
      <c r="H50" s="1">
        <v>6820.2689793848685</v>
      </c>
      <c r="I50" s="1">
        <v>196.82421337564566</v>
      </c>
      <c r="J50" s="1">
        <v>2309.5190762934335</v>
      </c>
      <c r="K50" s="1">
        <v>16846.589199039314</v>
      </c>
      <c r="L50" s="1">
        <v>6514.5602695652005</v>
      </c>
      <c r="M50" s="1">
        <v>-407.59720889944407</v>
      </c>
      <c r="N50" s="1">
        <v>7525.8030779345827</v>
      </c>
      <c r="O50" s="1">
        <v>2489.6914720303389</v>
      </c>
      <c r="P50" s="1">
        <v>-401.69240116286596</v>
      </c>
      <c r="Q50" s="1">
        <v>461.64758614991018</v>
      </c>
      <c r="R50" s="1">
        <v>1038.752628057299</v>
      </c>
      <c r="S50" s="1">
        <v>5632.0114055785098</v>
      </c>
      <c r="T50" s="1">
        <v>7858.6553125423934</v>
      </c>
      <c r="U50" s="1">
        <v>24124.483527071443</v>
      </c>
      <c r="V50" s="1">
        <v>-1158.4964378619759</v>
      </c>
      <c r="W50" s="1">
        <v>167.76311452989438</v>
      </c>
      <c r="X50" s="1">
        <v>-43.998236672117017</v>
      </c>
      <c r="Y50" s="1">
        <v>37908.161956225842</v>
      </c>
      <c r="Z50" s="1">
        <v>6759.8131576337846</v>
      </c>
      <c r="AA50" s="1">
        <v>2259.7500314683366</v>
      </c>
      <c r="AB50" s="1">
        <v>17.42172509698235</v>
      </c>
      <c r="AC50" s="1">
        <v>655.79098384012161</v>
      </c>
      <c r="AD50" s="1">
        <v>6224.5176956770447</v>
      </c>
      <c r="AE50" s="1">
        <v>1707.632847801907</v>
      </c>
      <c r="AF50" s="5">
        <v>149.48297722603161</v>
      </c>
    </row>
    <row r="51" spans="1:32" x14ac:dyDescent="0.2">
      <c r="A51">
        <v>2017</v>
      </c>
      <c r="B51" s="1">
        <v>-22130.206444026786</v>
      </c>
      <c r="C51" s="1">
        <v>1211.0733868064037</v>
      </c>
      <c r="D51" s="1">
        <v>-369.20285112138191</v>
      </c>
      <c r="E51" s="1">
        <v>3234.7469540911234</v>
      </c>
      <c r="F51" s="1">
        <v>75.935691653619443</v>
      </c>
      <c r="G51" s="1">
        <v>3114.8376738977786</v>
      </c>
      <c r="H51" s="1">
        <v>8302.2123663849579</v>
      </c>
      <c r="I51" s="1">
        <v>-1498.1958258584443</v>
      </c>
      <c r="J51" s="1">
        <v>1983.9215350663992</v>
      </c>
      <c r="K51" s="1">
        <v>23020.918398475122</v>
      </c>
      <c r="L51" s="1">
        <v>7441.4341339533539</v>
      </c>
      <c r="M51" s="1">
        <v>2846.9530332058953</v>
      </c>
      <c r="N51" s="1">
        <v>-617.29018994584214</v>
      </c>
      <c r="O51" s="1">
        <v>5262.2906378138341</v>
      </c>
      <c r="P51" s="1">
        <v>606.46172492123355</v>
      </c>
      <c r="Q51" s="1">
        <v>471.54446510269929</v>
      </c>
      <c r="R51" s="1">
        <v>2860.5767091055227</v>
      </c>
      <c r="S51" s="1">
        <v>3887.8437626689661</v>
      </c>
      <c r="T51" s="1">
        <v>5775.8769617079906</v>
      </c>
      <c r="U51" s="1">
        <v>47440.902719832324</v>
      </c>
      <c r="V51" s="1">
        <v>-268.67280529095524</v>
      </c>
      <c r="W51" s="1">
        <v>1787.9004349060704</v>
      </c>
      <c r="X51" s="1">
        <v>1784.0018847662609</v>
      </c>
      <c r="Y51" s="1">
        <v>44467.229232294943</v>
      </c>
      <c r="Z51" s="1">
        <v>1008.8590239772382</v>
      </c>
      <c r="AA51" s="1">
        <v>5239.6077830010463</v>
      </c>
      <c r="AB51" s="1">
        <v>1141.8413657320978</v>
      </c>
      <c r="AC51" s="1">
        <v>857.36680751923438</v>
      </c>
      <c r="AD51" s="1">
        <v>12115.602097196523</v>
      </c>
      <c r="AE51" s="1">
        <v>1469.9927152508967</v>
      </c>
      <c r="AF51" s="5">
        <v>162.52636338308812</v>
      </c>
    </row>
    <row r="52" spans="1:32" x14ac:dyDescent="0.2">
      <c r="A52">
        <v>2018</v>
      </c>
      <c r="B52" s="1">
        <v>-25384.779782107114</v>
      </c>
      <c r="C52" s="1">
        <v>4280.2938231981543</v>
      </c>
      <c r="D52" s="1">
        <v>897.07452978622928</v>
      </c>
      <c r="E52" s="1">
        <v>-1828.5099470501241</v>
      </c>
      <c r="F52" s="1">
        <v>-16.532865139157931</v>
      </c>
      <c r="G52" s="1">
        <v>2227.2795471548579</v>
      </c>
      <c r="H52" s="1">
        <v>119.21501465419519</v>
      </c>
      <c r="I52" s="1">
        <v>-3516.1138458756582</v>
      </c>
      <c r="J52" s="1">
        <v>5736.2056531505095</v>
      </c>
      <c r="K52" s="1">
        <v>25098.313392220967</v>
      </c>
      <c r="L52" s="1">
        <v>9488.9453495062826</v>
      </c>
      <c r="M52" s="1">
        <v>-1403.4133396355364</v>
      </c>
      <c r="N52" s="1">
        <v>368.23885460439232</v>
      </c>
      <c r="O52" s="1">
        <v>4170.1286480796225</v>
      </c>
      <c r="P52" s="1">
        <v>1384.8652250760047</v>
      </c>
      <c r="Q52" s="1">
        <v>1069.5898808824495</v>
      </c>
      <c r="R52" s="1">
        <v>2008.7966791475642</v>
      </c>
      <c r="S52" s="1">
        <v>1721.40006477305</v>
      </c>
      <c r="T52" s="1">
        <v>5997.4344466533075</v>
      </c>
      <c r="U52" s="1">
        <v>47859.42734692173</v>
      </c>
      <c r="V52" s="1">
        <v>1453.8656036965967</v>
      </c>
      <c r="W52" s="1">
        <v>1131.8175238195258</v>
      </c>
      <c r="X52" s="1">
        <v>778.05080295233483</v>
      </c>
      <c r="Y52" s="1">
        <v>18109.9971388331</v>
      </c>
      <c r="Z52" s="1">
        <v>-770.98165771949186</v>
      </c>
      <c r="AA52" s="1">
        <v>523.09006718781279</v>
      </c>
      <c r="AB52" s="1">
        <v>-364.9961569995981</v>
      </c>
      <c r="AC52" s="1">
        <v>1756.2678552150749</v>
      </c>
      <c r="AD52" s="1">
        <v>4117.9262246776516</v>
      </c>
      <c r="AE52" s="1">
        <v>-160.54703078629456</v>
      </c>
      <c r="AF52" s="5">
        <v>106.85234904687844</v>
      </c>
    </row>
    <row r="53" spans="1:32" x14ac:dyDescent="0.2">
      <c r="A53">
        <v>2019</v>
      </c>
      <c r="B53" s="1">
        <v>5478.7614729273091</v>
      </c>
      <c r="C53" s="1">
        <v>1386.1439908535158</v>
      </c>
      <c r="D53" s="1">
        <v>-787.2308338279687</v>
      </c>
      <c r="E53" s="1">
        <v>-796.19307830908485</v>
      </c>
      <c r="F53" s="1">
        <v>319.9118247666193</v>
      </c>
      <c r="G53" s="1">
        <v>5070.6951747117855</v>
      </c>
      <c r="H53" s="1">
        <v>1829.4020835113431</v>
      </c>
      <c r="I53" s="1">
        <v>4898.6742100854963</v>
      </c>
      <c r="J53" s="1">
        <v>3448.6127616594658</v>
      </c>
      <c r="K53" s="1">
        <v>17240.79729721502</v>
      </c>
      <c r="L53" s="1">
        <v>2695.0705597380638</v>
      </c>
      <c r="M53" s="1">
        <v>2833.1061333780808</v>
      </c>
      <c r="N53" s="1">
        <v>-5522.7480752023212</v>
      </c>
      <c r="O53" s="1">
        <v>2594.2316940741744</v>
      </c>
      <c r="P53" s="1">
        <v>554.43473787092739</v>
      </c>
      <c r="Q53" s="1">
        <v>1542.7342104529789</v>
      </c>
      <c r="R53" s="1">
        <v>1489.640439057574</v>
      </c>
      <c r="S53" s="1">
        <v>3647.8193274432069</v>
      </c>
      <c r="T53" s="1">
        <v>6840.6437134566377</v>
      </c>
      <c r="U53" s="1">
        <v>50359.740874454066</v>
      </c>
      <c r="V53" s="1">
        <v>1244.3441390942614</v>
      </c>
      <c r="W53" s="1">
        <v>262.50106594645246</v>
      </c>
      <c r="X53" s="1">
        <v>1078.1471013455775</v>
      </c>
      <c r="Y53" s="1">
        <v>25824.784736842041</v>
      </c>
      <c r="Z53" s="1">
        <v>-1696.8434918310854</v>
      </c>
      <c r="AA53" s="1">
        <v>3927.4605574823145</v>
      </c>
      <c r="AB53" s="1">
        <v>2906.78161905039</v>
      </c>
      <c r="AC53" s="1">
        <v>1149.0713998373285</v>
      </c>
      <c r="AD53" s="1">
        <v>6060.5710287648926</v>
      </c>
      <c r="AE53" s="1">
        <v>-116.56847479848805</v>
      </c>
      <c r="AF53" s="5">
        <v>145.76449820005055</v>
      </c>
    </row>
    <row r="54" spans="1:32" x14ac:dyDescent="0.2">
      <c r="A54">
        <v>2020</v>
      </c>
      <c r="B54" s="1">
        <v>5437.3633006940363</v>
      </c>
      <c r="C54" s="1">
        <v>4585.73296912974</v>
      </c>
      <c r="D54" s="1">
        <v>-425.55028310199197</v>
      </c>
      <c r="E54" s="1">
        <v>1018.0472999373388</v>
      </c>
      <c r="F54" s="1">
        <v>221.33430167614748</v>
      </c>
      <c r="G54" s="1">
        <v>4658.981687627077</v>
      </c>
      <c r="H54" s="1">
        <v>714.42862663752544</v>
      </c>
      <c r="I54" s="1">
        <v>1269.3212995391284</v>
      </c>
      <c r="J54" s="1">
        <v>4938.3302567126102</v>
      </c>
      <c r="K54" s="1">
        <v>15865.670696989777</v>
      </c>
      <c r="L54" s="1">
        <v>5943.5485650437486</v>
      </c>
      <c r="M54" s="1">
        <v>-1409.1748329284012</v>
      </c>
      <c r="N54" s="1">
        <v>13365.696962850057</v>
      </c>
      <c r="O54" s="1">
        <v>1716.9566086634115</v>
      </c>
      <c r="P54" s="1">
        <v>1515.628697317725</v>
      </c>
      <c r="Q54" s="1">
        <v>890.44221213437231</v>
      </c>
      <c r="R54" s="1">
        <v>864.81431516959606</v>
      </c>
      <c r="S54" s="1">
        <v>6856.2031186756194</v>
      </c>
      <c r="T54" s="1">
        <v>4793.8864797025008</v>
      </c>
      <c r="U54" s="1">
        <v>13844.052922892073</v>
      </c>
      <c r="V54" s="1">
        <v>2461.6691945846578</v>
      </c>
      <c r="W54" s="1">
        <v>1664.3533376187238</v>
      </c>
      <c r="X54" s="1">
        <v>1204.9151924485943</v>
      </c>
      <c r="Y54" s="1">
        <v>-9422.7485273247712</v>
      </c>
      <c r="Z54" s="1">
        <v>-4200.3577230853571</v>
      </c>
      <c r="AA54" s="1">
        <v>1736.7559831494837</v>
      </c>
      <c r="AB54" s="1">
        <v>-2696.7823955218537</v>
      </c>
      <c r="AC54" s="1">
        <v>5057.4174162414429</v>
      </c>
      <c r="AD54" s="1">
        <v>-602.69659159919047</v>
      </c>
      <c r="AE54" s="1">
        <v>124.93007334895429</v>
      </c>
      <c r="AF54" s="5">
        <v>81.99317116522279</v>
      </c>
    </row>
    <row r="55" spans="1:32" x14ac:dyDescent="0.2">
      <c r="A55">
        <v>2021</v>
      </c>
      <c r="B55" s="1">
        <v>5832.7730830326773</v>
      </c>
      <c r="C55" s="1">
        <v>3401.4484181249991</v>
      </c>
      <c r="D55" s="1">
        <v>-191.05284967767523</v>
      </c>
      <c r="E55" s="1">
        <v>540.07919527861134</v>
      </c>
      <c r="F55" s="1">
        <v>677.06561259633247</v>
      </c>
      <c r="G55" s="1">
        <v>3480.1766954862164</v>
      </c>
      <c r="H55" s="1">
        <v>-5407.7514858405593</v>
      </c>
      <c r="I55" s="1">
        <v>9514.7693063747283</v>
      </c>
      <c r="J55" s="1">
        <v>-8722.987742731395</v>
      </c>
      <c r="K55" s="1">
        <v>-823.67728337718393</v>
      </c>
      <c r="L55" s="1">
        <v>5411.1007049817017</v>
      </c>
      <c r="M55" s="1">
        <v>1184.3734691793829</v>
      </c>
      <c r="N55" s="1">
        <v>7523.7253889944814</v>
      </c>
      <c r="O55" s="1">
        <v>3173.6216654697569</v>
      </c>
      <c r="P55" s="1">
        <v>1064.9109246794585</v>
      </c>
      <c r="Q55" s="1">
        <v>248.53329352553163</v>
      </c>
      <c r="R55" s="1">
        <v>1448.7107061055606</v>
      </c>
      <c r="S55" s="1">
        <v>-1371.0987542630148</v>
      </c>
      <c r="T55" s="1">
        <v>-5238.9271521084547</v>
      </c>
      <c r="U55" s="1">
        <v>17397.609380477483</v>
      </c>
      <c r="V55" s="1">
        <v>570.70842896975876</v>
      </c>
      <c r="W55" s="1">
        <v>1793.528914386505</v>
      </c>
      <c r="X55" s="1">
        <v>2021.1160232735735</v>
      </c>
      <c r="Y55" s="1">
        <v>-2971.4567787523497</v>
      </c>
      <c r="Z55" s="1">
        <v>-11415.905942031151</v>
      </c>
      <c r="AA55" s="1">
        <v>2370.3616752599182</v>
      </c>
      <c r="AB55" s="1">
        <v>-2376.4637473504649</v>
      </c>
      <c r="AC55" s="1">
        <v>2346.7615518386174</v>
      </c>
      <c r="AD55" s="1">
        <v>-6086.7141605885117</v>
      </c>
      <c r="AE55" s="1">
        <v>155.85354511282108</v>
      </c>
      <c r="AF55" s="5">
        <v>25.55119208642736</v>
      </c>
    </row>
    <row r="56" spans="1:32" x14ac:dyDescent="0.2">
      <c r="A56">
        <v>2022</v>
      </c>
      <c r="B56" s="1">
        <v>-1134.176884686465</v>
      </c>
      <c r="C56" s="1">
        <v>-2676.8637295169174</v>
      </c>
      <c r="D56" s="1">
        <v>80.82676275492247</v>
      </c>
      <c r="E56" s="1">
        <v>1522.0424052187702</v>
      </c>
      <c r="F56" s="1">
        <v>21.039094271380264</v>
      </c>
      <c r="G56" s="1">
        <v>3082.515537289516</v>
      </c>
      <c r="H56" s="1">
        <v>-1410.3077185614964</v>
      </c>
      <c r="I56" s="1">
        <v>8006.1895365950568</v>
      </c>
      <c r="J56" s="1">
        <v>-12339.205366034848</v>
      </c>
      <c r="K56" s="1">
        <v>4964.2605199887294</v>
      </c>
      <c r="L56" s="1">
        <v>1364.1734661041073</v>
      </c>
      <c r="M56" s="1">
        <v>0</v>
      </c>
      <c r="N56" s="1">
        <v>3922.1563909224988</v>
      </c>
      <c r="O56" s="1">
        <v>-1153.2224029180975</v>
      </c>
      <c r="P56" s="1">
        <v>1308.525360735071</v>
      </c>
      <c r="Q56" s="1">
        <v>-1601.2442203149437</v>
      </c>
      <c r="R56" s="1">
        <v>1125.6699339786742</v>
      </c>
      <c r="S56" s="1">
        <v>-1732.7939276667191</v>
      </c>
      <c r="T56" s="1">
        <v>12393.083470932494</v>
      </c>
      <c r="U56" s="1">
        <v>15402.719209322513</v>
      </c>
      <c r="V56" s="1">
        <v>921.213299161789</v>
      </c>
      <c r="W56" s="1">
        <v>1800.9427246875666</v>
      </c>
      <c r="X56" s="1">
        <v>1992.5501121465477</v>
      </c>
      <c r="Y56" s="1">
        <v>21547.125807964781</v>
      </c>
      <c r="Z56" s="1">
        <v>-15870.620002381296</v>
      </c>
      <c r="AA56" s="1">
        <v>2646.8571154486681</v>
      </c>
      <c r="AB56" s="1">
        <v>-5526.242246062955</v>
      </c>
      <c r="AC56" s="1">
        <v>5134.0652780261707</v>
      </c>
      <c r="AD56" s="1">
        <v>3458.3649381481146</v>
      </c>
      <c r="AE56" s="1">
        <v>-347.72952381865241</v>
      </c>
      <c r="AF56" s="5">
        <v>46.901914941734987</v>
      </c>
    </row>
    <row r="57" spans="1:32" s="2" customFormat="1" x14ac:dyDescent="0.2">
      <c r="A57" s="3" t="s">
        <v>33</v>
      </c>
      <c r="B57" s="4">
        <f t="shared" ref="B57:AE57" si="0">SUM(B4:B56)</f>
        <v>140825.15081364725</v>
      </c>
      <c r="C57" s="4">
        <f t="shared" si="0"/>
        <v>133159.8819446358</v>
      </c>
      <c r="D57" s="4">
        <f t="shared" si="0"/>
        <v>1189.8812666316412</v>
      </c>
      <c r="E57" s="4">
        <f t="shared" si="0"/>
        <v>17917.27375750415</v>
      </c>
      <c r="F57" s="4">
        <f t="shared" si="0"/>
        <v>6904.4274532324362</v>
      </c>
      <c r="G57" s="4">
        <f t="shared" si="0"/>
        <v>97680.515994658825</v>
      </c>
      <c r="H57" s="4">
        <f t="shared" si="0"/>
        <v>54597.606098812728</v>
      </c>
      <c r="I57" s="4">
        <f t="shared" si="0"/>
        <v>90816.10085800961</v>
      </c>
      <c r="J57" s="4">
        <f t="shared" si="0"/>
        <v>71909.421833535322</v>
      </c>
      <c r="K57" s="4">
        <f t="shared" si="0"/>
        <v>75632.68432865059</v>
      </c>
      <c r="L57" s="4">
        <f t="shared" si="0"/>
        <v>112753.91467616195</v>
      </c>
      <c r="M57" s="4">
        <f t="shared" si="0"/>
        <v>27965.553293026602</v>
      </c>
      <c r="N57" s="4">
        <f t="shared" si="0"/>
        <v>85658.148990215443</v>
      </c>
      <c r="O57" s="4">
        <f t="shared" si="0"/>
        <v>50274.942691077558</v>
      </c>
      <c r="P57" s="4">
        <f t="shared" si="0"/>
        <v>21300.844244935852</v>
      </c>
      <c r="Q57" s="4">
        <f t="shared" si="0"/>
        <v>19967.753111476355</v>
      </c>
      <c r="R57" s="4">
        <f t="shared" si="0"/>
        <v>22792.510577374025</v>
      </c>
      <c r="S57" s="4">
        <f t="shared" si="0"/>
        <v>170225.20353136188</v>
      </c>
      <c r="T57" s="4">
        <f t="shared" si="0"/>
        <v>97836.024172514677</v>
      </c>
      <c r="U57" s="4">
        <f t="shared" si="0"/>
        <v>633605.69082118617</v>
      </c>
      <c r="V57" s="4">
        <f t="shared" si="0"/>
        <v>24314.431937827183</v>
      </c>
      <c r="W57" s="4">
        <f t="shared" si="0"/>
        <v>25018.843445622409</v>
      </c>
      <c r="X57" s="4">
        <f t="shared" si="0"/>
        <v>47984.027217195544</v>
      </c>
      <c r="Y57" s="4">
        <f t="shared" si="0"/>
        <v>422144.24109140487</v>
      </c>
      <c r="Z57" s="4">
        <f t="shared" si="0"/>
        <v>40653.525548687001</v>
      </c>
      <c r="AA57" s="4">
        <f t="shared" si="0"/>
        <v>62877.215421931454</v>
      </c>
      <c r="AB57" s="4">
        <f t="shared" si="0"/>
        <v>25305.398047353454</v>
      </c>
      <c r="AC57" s="4">
        <f t="shared" si="0"/>
        <v>57379.430973032839</v>
      </c>
      <c r="AD57" s="4">
        <f t="shared" si="0"/>
        <v>79609.27965282285</v>
      </c>
      <c r="AE57" s="4">
        <f t="shared" si="0"/>
        <v>11236.083520341601</v>
      </c>
      <c r="AF57" s="6">
        <f>SUM(AF4:AF56)</f>
        <v>2729.5360073148686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KF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Leonce Ndikumana</dc:creator>
  <cp:lastModifiedBy>Leonce Ndikumana</cp:lastModifiedBy>
  <dcterms:created xsi:type="dcterms:W3CDTF">2024-12-23T16:52:22Z</dcterms:created>
  <dcterms:modified xsi:type="dcterms:W3CDTF">2024-12-23T16:59:43Z</dcterms:modified>
</cp:coreProperties>
</file>